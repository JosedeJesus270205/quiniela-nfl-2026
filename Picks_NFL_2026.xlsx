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ODOLOGIA" sheetId="1" state="visible" r:id="rId3"/>
    <sheet name="PICKS" sheetId="2" state="visible" r:id="rId4"/>
    <sheet name="CALIBRACION" sheetId="3" state="visible" r:id="rId5"/>
    <sheet name="BACKTEST S1-S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<sst xmlns="http://schemas.openxmlformats.org/spreadsheetml/2006/main" count="352" uniqueCount="203">
  <si>
    <t xml:space="preserve">MODELO DE PICKS NFL 2026 — METODOLOGÍA</t>
  </si>
  <si>
    <t xml:space="preserve">Basado en investigación de métricas predictivas (EPA/jugada, success rate, net yards/play) y evidencia de que el mercado NO se usa como insumo. Actualizado: 21-sep-2026</t>
  </si>
  <si>
    <t xml:space="preserve">Factor</t>
  </si>
  <si>
    <t xml:space="preserve">Peso</t>
  </si>
  <si>
    <t xml:space="preserve">Qué se mide</t>
  </si>
  <si>
    <t xml:space="preserve">Fuente semanal</t>
  </si>
  <si>
    <t xml:space="preserve">Nota</t>
  </si>
  <si>
    <t xml:space="preserve">1. Eficiencia integral del equipo</t>
  </si>
  <si>
    <t xml:space="preserve">EPA/jugada ofensivo y defensivo, success rate y net yards por jugada de la temporada actual (semanas 1-4 se pondera 50/50 con la temporada 2025 para evitar muestras chicas).</t>
  </si>
  <si>
    <t xml:space="preserve">SumerSports / nfelo EPA tiers / TeamRankings (yds por jugada)</t>
  </si>
  <si>
    <t xml:space="preserve">La métrica individual más predictiva según la literatura; el marcador y las rachas engañan, la eficiencia no.</t>
  </si>
  <si>
    <t xml:space="preserve">2. QB y disponibilidad</t>
  </si>
  <si>
    <t xml:space="preserve">Quién inicia en QB y bajas confirmadas de jugadores clave (OL titulares, CB1, WR1). Solo injury reports oficiales de miércoles a viernes y noticias verificadas.</t>
  </si>
  <si>
    <t xml:space="preserve">Injury report oficial NFL / ESPN injuries</t>
  </si>
  <si>
    <t xml:space="preserve">Un cambio de QB titular mueve un partido más que cualquier otro factor individual (3-7 pts).</t>
  </si>
  <si>
    <t xml:space="preserve">3. Trincheras (OL vs DL)</t>
  </si>
  <si>
    <t xml:space="preserve">Pressure rate generado por la defensa vs pressure rate permitido por la OL rival, en ambos sentidos. Pressure rate es más estable que capturas.</t>
  </si>
  <si>
    <t xml:space="preserve">PFF / SumerSports / stats de presión</t>
  </si>
  <si>
    <t xml:space="preserve">El matchup línea ofensiva vs frente defensivo decide más partidos que los receptores estelares.</t>
  </si>
  <si>
    <t xml:space="preserve">4. Matchup de estilos</t>
  </si>
  <si>
    <t xml:space="preserve">Fortaleza del ataque (aéreo/terrestre) contra la debilidad específica de la defensa rival; ritmo de juego y game script probable.</t>
  </si>
  <si>
    <t xml:space="preserve">Splits de pase/carrera, EPA por tipo de jugada</t>
  </si>
  <si>
    <t xml:space="preserve">Un equipo promedio con el matchup correcto vence a uno bueno con el matchup incorrecto.</t>
  </si>
  <si>
    <t xml:space="preserve">5. Contexto externo</t>
  </si>
  <si>
    <t xml:space="preserve">Localía (~1.8 pts, PESO MÍNIMO), diferencia de descanso (bye o +3 días), viaje largo/zonas horarias, clima extremo (viento &gt;30 km/h, nieve), altitud (DEN).</t>
  </si>
  <si>
    <t xml:space="preserve">Calendario, pronóstico del clima del estadio</t>
  </si>
  <si>
    <t xml:space="preserve">La localía moderna vale menos de 2 pts; solo desempata partidos parejos. El descanso casi no pesa salvo bye vs jueves.</t>
  </si>
  <si>
    <t xml:space="preserve">6. Filtro anti-ruido (ajuste final)</t>
  </si>
  <si>
    <t xml:space="preserve">Detectar equipos inflados o castigados por suerte de balones sueltos/intercepciones y marcadores engañosos. El margen de turnovers REGRESA a la media: no perseguir rachas.</t>
  </si>
  <si>
    <t xml:space="preserve">Diferencial de turnovers vs eficiencia real</t>
  </si>
  <si>
    <t xml:space="preserve">Veto: si un pick depende de que se repita la suerte de turnovers de la semana pasada, se baja la confianza.</t>
  </si>
  <si>
    <t xml:space="preserve">TOTAL</t>
  </si>
  <si>
    <t xml:space="preserve">ESCALA DE CONFIANZA (calibrada)</t>
  </si>
  <si>
    <t xml:space="preserve">Confianza</t>
  </si>
  <si>
    <t xml:space="preserve">Prob. implícita</t>
  </si>
  <si>
    <t xml:space="preserve">Significado</t>
  </si>
  <si>
    <t xml:space="preserve">Acierto esperado a largo plazo</t>
  </si>
  <si>
    <t xml:space="preserve">9-10</t>
  </si>
  <si>
    <t xml:space="preserve">80%+</t>
  </si>
  <si>
    <t xml:space="preserve">Diferencia clara en eficiencia + QB + trincheras; sin señales de ruido</t>
  </si>
  <si>
    <t xml:space="preserve">8 de cada 10</t>
  </si>
  <si>
    <t xml:space="preserve">7-8</t>
  </si>
  <si>
    <t xml:space="preserve">65-79%</t>
  </si>
  <si>
    <t xml:space="preserve">Ventaja sólida en 2 de los 3 factores principales</t>
  </si>
  <si>
    <t xml:space="preserve">7 de cada 10</t>
  </si>
  <si>
    <t xml:space="preserve">5-6</t>
  </si>
  <si>
    <t xml:space="preserve">55-64%</t>
  </si>
  <si>
    <t xml:space="preserve">Partido parejo; se defiende un lado con argumentos objetivos y se dice que es cerrado</t>
  </si>
  <si>
    <t xml:space="preserve">6 de cada 10</t>
  </si>
  <si>
    <t xml:space="preserve">1-4</t>
  </si>
  <si>
    <t xml:space="preserve">&lt;55%</t>
  </si>
  <si>
    <t xml:space="preserve">NO SE USA: si el modelo no da al menos 55%, el partido se declara volado y se explica por qué</t>
  </si>
  <si>
    <t xml:space="preserve">—</t>
  </si>
  <si>
    <t xml:space="preserve">REGLAS FIJAS</t>
  </si>
  <si>
    <t xml:space="preserve">1. NO se usan líneas de casas de apuestas como insumo. El pick sale de datos: eficiencia, lesiones oficiales, trincheras y contexto.</t>
  </si>
  <si>
    <t xml:space="preserve">2. El resultado de la semana anterior NO es señal: en el backtest S1-S2, los ganadores de la semana 1 fueron 8-7 en la semana 2 (volado).</t>
  </si>
  <si>
    <t xml:space="preserve">3. Los picks se registran ANTES de los partidos en la hoja PICKS y nunca se editan después.</t>
  </si>
  <si>
    <t xml:space="preserve">4. Cada lunes se llena la columna Ganador real y se revisa la hoja CALIBRACION: si la confianza 8+ acierta menos del 70%, el modelo se recalibra.</t>
  </si>
  <si>
    <t xml:space="preserve">5. Lesiones: solo fuentes oficiales (injury report NFL, anuncios de equipos). Rumores no cuentan.</t>
  </si>
  <si>
    <t xml:space="preserve">REGISTRO DE PICKS — se llena ANTES de cada jornada; Ganador real se llena el lunes</t>
  </si>
  <si>
    <t xml:space="preserve">Semana</t>
  </si>
  <si>
    <t xml:space="preserve">Visitante</t>
  </si>
  <si>
    <t xml:space="preserve">Local</t>
  </si>
  <si>
    <t xml:space="preserve">Pick</t>
  </si>
  <si>
    <t xml:space="preserve">Confianza (1-10)</t>
  </si>
  <si>
    <t xml:space="preserve">Marcador (V-L)</t>
  </si>
  <si>
    <t xml:space="preserve">Ganador real</t>
  </si>
  <si>
    <t xml:space="preserve">Acierto</t>
  </si>
  <si>
    <t xml:space="preserve">Notas / factores decisivos</t>
  </si>
  <si>
    <t xml:space="preserve">New England</t>
  </si>
  <si>
    <t xml:space="preserve">Seattle</t>
  </si>
  <si>
    <t xml:space="preserve">10-13</t>
  </si>
  <si>
    <t xml:space="preserve">Referencia pre-modelo (sin pick)</t>
  </si>
  <si>
    <t xml:space="preserve">LA Rams</t>
  </si>
  <si>
    <t xml:space="preserve">San Francisco</t>
  </si>
  <si>
    <t xml:space="preserve">7-27</t>
  </si>
  <si>
    <t xml:space="preserve">Tennessee</t>
  </si>
  <si>
    <t xml:space="preserve">NY Jets</t>
  </si>
  <si>
    <t xml:space="preserve">10-23</t>
  </si>
  <si>
    <t xml:space="preserve">Houston</t>
  </si>
  <si>
    <t xml:space="preserve">Buffalo</t>
  </si>
  <si>
    <t xml:space="preserve">31-36</t>
  </si>
  <si>
    <t xml:space="preserve">Carolina</t>
  </si>
  <si>
    <t xml:space="preserve">Chicago</t>
  </si>
  <si>
    <t xml:space="preserve">37-59</t>
  </si>
  <si>
    <t xml:space="preserve">Cleveland</t>
  </si>
  <si>
    <t xml:space="preserve">Jacksonville</t>
  </si>
  <si>
    <t xml:space="preserve">10-34</t>
  </si>
  <si>
    <t xml:space="preserve">Atlanta</t>
  </si>
  <si>
    <t xml:space="preserve">Pittsburgh</t>
  </si>
  <si>
    <t xml:space="preserve">13-20</t>
  </si>
  <si>
    <t xml:space="preserve">Indianapolis</t>
  </si>
  <si>
    <t xml:space="preserve">Baltimore</t>
  </si>
  <si>
    <t xml:space="preserve">23-41</t>
  </si>
  <si>
    <t xml:space="preserve">Tampa Bay</t>
  </si>
  <si>
    <t xml:space="preserve">Cincinnati</t>
  </si>
  <si>
    <t xml:space="preserve">27-33</t>
  </si>
  <si>
    <t xml:space="preserve">New Orleans</t>
  </si>
  <si>
    <t xml:space="preserve">Detroit</t>
  </si>
  <si>
    <t xml:space="preserve">30-31 (OT)</t>
  </si>
  <si>
    <t xml:space="preserve">Miami</t>
  </si>
  <si>
    <t xml:space="preserve">Las Vegas</t>
  </si>
  <si>
    <t xml:space="preserve">13-27</t>
  </si>
  <si>
    <t xml:space="preserve">LA Chargers</t>
  </si>
  <si>
    <t xml:space="preserve">Arizona</t>
  </si>
  <si>
    <t xml:space="preserve">14-26</t>
  </si>
  <si>
    <t xml:space="preserve">Green Bay</t>
  </si>
  <si>
    <t xml:space="preserve">Minnesota</t>
  </si>
  <si>
    <t xml:space="preserve">22-39</t>
  </si>
  <si>
    <t xml:space="preserve">Washington</t>
  </si>
  <si>
    <t xml:space="preserve">Philadelphia</t>
  </si>
  <si>
    <t xml:space="preserve">22-24</t>
  </si>
  <si>
    <t xml:space="preserve">Dallas</t>
  </si>
  <si>
    <t xml:space="preserve">NY Giants</t>
  </si>
  <si>
    <t xml:space="preserve">20-28</t>
  </si>
  <si>
    <t xml:space="preserve">Denver</t>
  </si>
  <si>
    <t xml:space="preserve">Kansas City</t>
  </si>
  <si>
    <t xml:space="preserve">10-31</t>
  </si>
  <si>
    <t xml:space="preserve">31-41</t>
  </si>
  <si>
    <t xml:space="preserve">9-3</t>
  </si>
  <si>
    <t xml:space="preserve">24-20</t>
  </si>
  <si>
    <t xml:space="preserve">20-6</t>
  </si>
  <si>
    <t xml:space="preserve">23-19</t>
  </si>
  <si>
    <t xml:space="preserve">3-20</t>
  </si>
  <si>
    <t xml:space="preserve">17-20 (OT)</t>
  </si>
  <si>
    <t xml:space="preserve">3-34</t>
  </si>
  <si>
    <t xml:space="preserve">17-24</t>
  </si>
  <si>
    <t xml:space="preserve">13-35</t>
  </si>
  <si>
    <t xml:space="preserve">7-31</t>
  </si>
  <si>
    <t xml:space="preserve">20-37</t>
  </si>
  <si>
    <t xml:space="preserve">30-33 (OT)</t>
  </si>
  <si>
    <t xml:space="preserve">6-28</t>
  </si>
  <si>
    <t xml:space="preserve">ACIERTO del modelo (conf 5). Dart (rodilla, Q1, prob. fin de temporada) y Nabers (hombro dislocado) se lesionaron; Stafford 327 yds 4 TD, Adams 195 yds 2 TD vs secundaria NYG sin Adebo.</t>
  </si>
  <si>
    <t xml:space="preserve">GB en casa; ATL 0-2 pero regresa Penix (jugaron suplentes). OL de GB diezmada, sin Jones ni Watson: mas cerrado de lo que parece</t>
  </si>
  <si>
    <t xml:space="preserve">Volado: ambos 0-2. IND compitio mas (30-33 OT vs KC); HOU sin Tunsil (LT) ni Stingley (CB1). Casa desempata</t>
  </si>
  <si>
    <t xml:space="preserve">KC 2-0; MIA PD -36, 13 pts por juego, sin Waddle. Diferencia clara en los 3 factores principales</t>
  </si>
  <si>
    <t xml:space="preserve">BUF ofensiva elite (36 y 41 pts); LAC anoto 14 y 14 sin Ekeler</t>
  </si>
  <si>
    <t xml:space="preserve">Volado feo: NYG sin Dart (Winston) y Nabers tocado; TEN ofensiva anemica. Casa + defensa desempatan</t>
  </si>
  <si>
    <t xml:space="preserve">CIN 2-0; PIT anoto 3 vs NE. RIESGO: Burrow game-time (pantorrilla); si no juega baja a 5 con Browning</t>
  </si>
  <si>
    <t xml:space="preserve">SEA 2-0 con defensa dominante (31-7 a ARI); WAS pierde a Daniels (codo dislocado), debuta Mariota</t>
  </si>
  <si>
    <t xml:space="preserve">JAX en casa fue 34-10; NE defensa fuerte (3 pts a PIT) pero ofensiva corta de visita</t>
  </si>
  <si>
    <t xml:space="preserve">CAR sin Young (Dalton); CLE en casa. Ambos erraticos: el 34-3 de CAR huele a ruido</t>
  </si>
  <si>
    <t xml:space="preserve">DET ofensiva top (31 y 31 pts); NYJ sin su QB titular. Casa y trincheras DET</t>
  </si>
  <si>
    <t xml:space="preserve">SF 2-0 dominante (PD +42); ARI venia de 7-31 en Seattle</t>
  </si>
  <si>
    <t xml:space="preserve">MIN 2-0 con defensa elite (9-3 a CHI) y regresa Murray; TB 0-2. Visitante pero la ventaja defensiva es real</t>
  </si>
  <si>
    <t xml:space="preserve">ANTI-RUIDO: LV 2-0 pero contra MIA y LAC (ambos 0-2); NO vencio a BAL. Casa desempata</t>
  </si>
  <si>
    <t xml:space="preserve">BAL mas talento; ambos con secundarias diezmadas (sin M.Williams / sin Diggs): partido de muchos puntos</t>
  </si>
  <si>
    <t xml:space="preserve">Stafford-Adams encendidos (327 yds, 4 TD); DEN defensa decente y altitud, por eso no mas de 6</t>
  </si>
  <si>
    <t xml:space="preserve">PHI 2-0; CHI sin Caleb Williams (Bagent, que ademas entro a protocolo). QB out = factor maximo</t>
  </si>
  <si>
    <t xml:space="preserve">Leyenda: se editan Pick, Confianza, Marcador y Ganador real. Acierto se calcula solo. Picks S3 registrados ANTES de la jornada (24-sep-2026, pre-TNF).</t>
  </si>
  <si>
    <t xml:space="preserve">CALIBRACIÓN DEL MODELO — se alimenta sola desde la hoja PICKS</t>
  </si>
  <si>
    <t xml:space="preserve">Nivel de confianza</t>
  </si>
  <si>
    <t xml:space="preserve">Picks hechos</t>
  </si>
  <si>
    <t xml:space="preserve">Aciertos</t>
  </si>
  <si>
    <t xml:space="preserve">% acierto</t>
  </si>
  <si>
    <t xml:space="preserve">Objetivo</t>
  </si>
  <si>
    <t xml:space="preserve">85%</t>
  </si>
  <si>
    <t xml:space="preserve">80%</t>
  </si>
  <si>
    <t xml:space="preserve">75%</t>
  </si>
  <si>
    <t xml:space="preserve">70%</t>
  </si>
  <si>
    <t xml:space="preserve">60%</t>
  </si>
  <si>
    <t xml:space="preserve">55%</t>
  </si>
  <si>
    <t xml:space="preserve">≥68%</t>
  </si>
  <si>
    <t xml:space="preserve">% acierto por semana</t>
  </si>
  <si>
    <t xml:space="preserve">Picks</t>
  </si>
  <si>
    <t xml:space="preserve">Regla de recalibración: si tras 4+ semanas la confianza 8-10 acierta &lt;70%, o la 5-6 acierta &gt;75% (demasiado conservador), se ajustan los pesos de la METODOLOGIA.</t>
  </si>
  <si>
    <t xml:space="preserve">BACKTEST SEMANAS 1-2 (31 partidos jugados; NYG-LAR pendiente del lunes 21-sep)</t>
  </si>
  <si>
    <t xml:space="preserve">Hallazgo</t>
  </si>
  <si>
    <t xml:space="preserve">Dato</t>
  </si>
  <si>
    <t xml:space="preserve">Implicación para el modelo</t>
  </si>
  <si>
    <t xml:space="preserve">El local está ganando de forma anómala</t>
  </si>
  <si>
    <t xml:space="preserve">27 de 31 partidos los ganó el local (87%). En semana 1 fue 16 de 16. El promedio histórico es ~55% y la localía moderna vale ~1.8 pts.</t>
  </si>
  <si>
    <t xml:space="preserve">Muestra chica: NO subir el peso de localía (se queda en 10% del contexto). Esperar regresión, pero en partidos parejos el desempate va al local mientras dure la tendencia.</t>
  </si>
  <si>
    <t xml:space="preserve">Ganar la semana anterior no predice nada</t>
  </si>
  <si>
    <t xml:space="preserve">Los 16 ganadores de la semana 1 quedaron 8-7 en la semana 2 (NYG pendiente): un volado.</t>
  </si>
  <si>
    <t xml:space="preserve">Confirma la regla anti-recencia: el resultado de la semana previa NO es factor. Solo cuenta la eficiencia por jugada.</t>
  </si>
  <si>
    <t xml:space="preserve">Los triunfos aplastantes engañan</t>
  </si>
  <si>
    <t xml:space="preserve">BAL (+18), CHI (+22) y JAX (+24) ganaron por paliza en S1... y los tres PERDIERON en S2.</t>
  </si>
  <si>
    <t xml:space="preserve">Marcador inflado ≠ equipo dominante: suele venir de turnovers y jugadas grandes que regresan a la media. El filtro anti-ruido baja confianza a equipos con victoria inflada reciente.</t>
  </si>
  <si>
    <t xml:space="preserve">Sorpresas grandes de la semana 2</t>
  </si>
  <si>
    <t xml:space="preserve">NE 20-3 a PIT, CAR 34-3 a ATL, NO 24-17 a BAL, CLE 23-19 a TB: 4 'sorpresas' claras y todas fueron del equipo LOCAL.</t>
  </si>
  <si>
    <t xml:space="preserve">Las sorpresas están viniendo en casa. Un local 'malo' con matchup favorable en trincheras merece análisis serio, no descarte automático.</t>
  </si>
  <si>
    <t xml:space="preserve">Equipos 2-0</t>
  </si>
  <si>
    <t xml:space="preserve">BUF, MIN, PHI, CIN, SEA, SF, LV, KC</t>
  </si>
  <si>
    <t xml:space="preserve">Solo cuenta CÓMO llegaron al 2-0 (eficiencia), no el récord: LV y SEA ganaron con defensa dominante; BUF y KC sobrevivieron partidos cerrados.</t>
  </si>
  <si>
    <t xml:space="preserve">Equipos 0-2</t>
  </si>
  <si>
    <t xml:space="preserve">ATL, WAS, MIA, LAC, TEN, HOU, IND, TB</t>
  </si>
  <si>
    <t xml:space="preserve">MIA y ATL muestran diferenciales de eficiencia muy negativos (-36 y -38 pts acumulados): evitarlos de visita salvo matchup extremo.</t>
  </si>
  <si>
    <t xml:space="preserve">Fuente de resultados: footballdb.com / NFL.com (verificado 21-sep-2026). El % de locales se recalcula solo abajo.</t>
  </si>
  <si>
    <t xml:space="preserve">Locales ganando (auto, desde PICKS):</t>
  </si>
  <si>
    <t xml:space="preserve">LECCIONES DEL PRIMER PICK EN VIVO (NYG@LAR, 28-6 LAR)</t>
  </si>
  <si>
    <t xml:space="preserve">Un parlay concentrado muere por UN evento</t>
  </si>
  <si>
    <t xml:space="preserve">Las 4 patas dependían de la salud de la ofensiva de NYG. Dart (rodilla) y Nabers (hombro) en el Q1 mataron el boleto completo: +10.5 (perdió por 22), over 39.5 (34 pts), Nabers 52+ (1 yd), Skattebo 44+ (36 yds).</t>
  </si>
  <si>
    <t xml:space="preserve">Regla nueva: máximo 2 patas que dependan del mismo equipo/lado. Diversificar guiones o aceptar que es boleto de un solo evento.</t>
  </si>
  <si>
    <t xml:space="preserve">Baja de WR1 ≠ baja de QB</t>
  </si>
  <si>
    <t xml:space="preserve">Resté demasiado a LAR por Puka fuera: el volumen se redistribuyó a Adams (8-195-2). En cambio la baja del QB (Dart) sí colapsó a NYG (6 pts, Winston 131 yds).</t>
  </si>
  <si>
    <t xml:space="preserve">Confirmada la asimetría del modelo: QB pesa 3-7 pts; un WR élite con QB sano se compensa. No sobre-castigar ofensivas élite de pase por una baja de receptor.</t>
  </si>
  <si>
    <t xml:space="preserve">El ángulo que sí vimos y no pesamos</t>
  </si>
  <si>
    <t xml:space="preserve">Stafford vs secundaria de NYG sin Adebo era la ventaja más clara del partido y la subponderé al bajar la confianza de LAR a 5.</t>
  </si>
  <si>
    <t xml:space="preserve">Cuando la mayor fortaleza de un equipo ataca la baja más grave del rival, subir medio punto-1 punto de confianza.</t>
  </si>
  <si>
    <t xml:space="preserve">El pick de quiniela acertó</t>
  </si>
  <si>
    <t xml:space="preserve">LAR ganador con confianza 5: correcto (1/1 del modelo). El margen fue mayor al esperado por la lesión de Dart, no por error de lectura.</t>
  </si>
  <si>
    <t xml:space="preserve">La escala de confianza se comporta: un 5 era 'parejo con lean a LAR' y así lucía hasta la lesión.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</si>
</sst>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3" min="3" style="1" width="52"/>
    <col collapsed="false" customWidth="true" hidden="false" outlineLevel="0" max="4" min="4" style="1" width="30"/>
    <col collapsed="false" customWidth="true" hidden="false" outlineLevel="0" max="5" min="5" style="1" width="4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34.5" hidden="false" customHeight="true" outlineLevel="0" collapsed="false">
      <c r="A5" s="5" t="s">
        <v>7</v>
      </c>
      <c r="B5" s="6" t="n">
        <v>0.35</v>
      </c>
      <c r="C5" s="7" t="s">
        <v>8</v>
      </c>
      <c r="D5" s="7" t="s">
        <v>9</v>
      </c>
      <c r="E5" s="7" t="s">
        <v>10</v>
      </c>
    </row>
    <row r="6" customFormat="false" ht="34.5" hidden="false" customHeight="true" outlineLevel="0" collapsed="false">
      <c r="A6" s="5" t="s">
        <v>11</v>
      </c>
      <c r="B6" s="6" t="n">
        <v>0.25</v>
      </c>
      <c r="C6" s="7" t="s">
        <v>12</v>
      </c>
      <c r="D6" s="7" t="s">
        <v>13</v>
      </c>
      <c r="E6" s="7" t="s">
        <v>14</v>
      </c>
    </row>
    <row r="7" customFormat="false" ht="34.5" hidden="false" customHeight="true" outlineLevel="0" collapsed="false">
      <c r="A7" s="5" t="s">
        <v>15</v>
      </c>
      <c r="B7" s="6" t="n">
        <v>0.15</v>
      </c>
      <c r="C7" s="7" t="s">
        <v>16</v>
      </c>
      <c r="D7" s="7" t="s">
        <v>17</v>
      </c>
      <c r="E7" s="7" t="s">
        <v>18</v>
      </c>
    </row>
    <row r="8" customFormat="false" ht="34.5" hidden="false" customHeight="true" outlineLevel="0" collapsed="false">
      <c r="A8" s="5" t="s">
        <v>19</v>
      </c>
      <c r="B8" s="6" t="n">
        <v>0.1</v>
      </c>
      <c r="C8" s="7" t="s">
        <v>20</v>
      </c>
      <c r="D8" s="7" t="s">
        <v>21</v>
      </c>
      <c r="E8" s="7" t="s">
        <v>22</v>
      </c>
    </row>
    <row r="9" customFormat="false" ht="34.5" hidden="false" customHeight="true" outlineLevel="0" collapsed="false">
      <c r="A9" s="5" t="s">
        <v>23</v>
      </c>
      <c r="B9" s="6" t="n">
        <v>0.1</v>
      </c>
      <c r="C9" s="7" t="s">
        <v>24</v>
      </c>
      <c r="D9" s="7" t="s">
        <v>25</v>
      </c>
      <c r="E9" s="7" t="s">
        <v>26</v>
      </c>
    </row>
    <row r="10" customFormat="false" ht="34.5" hidden="false" customHeight="true" outlineLevel="0" collapsed="false">
      <c r="A10" s="5" t="s">
        <v>27</v>
      </c>
      <c r="B10" s="6" t="n">
        <v>0.05</v>
      </c>
      <c r="C10" s="7" t="s">
        <v>28</v>
      </c>
      <c r="D10" s="7" t="s">
        <v>29</v>
      </c>
      <c r="E10" s="7" t="s">
        <v>30</v>
      </c>
    </row>
    <row r="11" customFormat="false" ht="15" hidden="false" customHeight="true" outlineLevel="0" collapsed="false">
      <c r="A11" s="5" t="s">
        <v>31</v>
      </c>
      <c r="B11" s="8" t="n">
        <f aca="false">SUM(B5:B10)</f>
        <v>1</v>
      </c>
    </row>
    <row r="13" customFormat="false" ht="26.25" hidden="false" customHeight="true" outlineLevel="0" collapsed="false">
      <c r="A13" s="9" t="s">
        <v>32</v>
      </c>
    </row>
    <row r="14" customFormat="false" ht="23.25" hidden="false" customHeight="true" outlineLevel="0" collapsed="false">
      <c r="A14" s="4" t="s">
        <v>33</v>
      </c>
      <c r="B14" s="4" t="s">
        <v>34</v>
      </c>
      <c r="C14" s="4" t="s">
        <v>35</v>
      </c>
      <c r="D14" s="4" t="s">
        <v>36</v>
      </c>
      <c r="E14" s="4"/>
    </row>
    <row r="15" customFormat="false" ht="23.25" hidden="false" customHeight="true" outlineLevel="0" collapsed="false">
      <c r="A15" s="10" t="s">
        <v>37</v>
      </c>
      <c r="B15" s="11" t="s">
        <v>38</v>
      </c>
      <c r="C15" s="7" t="s">
        <v>39</v>
      </c>
      <c r="D15" s="11" t="s">
        <v>40</v>
      </c>
      <c r="E15" s="7"/>
    </row>
    <row r="16" customFormat="false" ht="15" hidden="false" customHeight="true" outlineLevel="0" collapsed="false">
      <c r="A16" s="10" t="s">
        <v>41</v>
      </c>
      <c r="B16" s="11" t="s">
        <v>42</v>
      </c>
      <c r="C16" s="7" t="s">
        <v>43</v>
      </c>
      <c r="D16" s="11" t="s">
        <v>44</v>
      </c>
      <c r="E16" s="7"/>
    </row>
    <row r="17" customFormat="false" ht="23.25" hidden="false" customHeight="true" outlineLevel="0" collapsed="false">
      <c r="A17" s="10" t="s">
        <v>45</v>
      </c>
      <c r="B17" s="11" t="s">
        <v>46</v>
      </c>
      <c r="C17" s="7" t="s">
        <v>47</v>
      </c>
      <c r="D17" s="11" t="s">
        <v>48</v>
      </c>
      <c r="E17" s="7"/>
    </row>
    <row r="18" customFormat="false" ht="23.25" hidden="false" customHeight="true" outlineLevel="0" collapsed="false">
      <c r="A18" s="10" t="s">
        <v>49</v>
      </c>
      <c r="B18" s="11" t="s">
        <v>50</v>
      </c>
      <c r="C18" s="7" t="s">
        <v>51</v>
      </c>
      <c r="D18" s="11" t="s">
        <v>52</v>
      </c>
      <c r="E18" s="7"/>
    </row>
    <row r="20" customFormat="false" ht="15" hidden="false" customHeight="true" outlineLevel="0" collapsed="false">
      <c r="A20" s="9" t="s">
        <v>53</v>
      </c>
    </row>
    <row r="21" customFormat="false" ht="15" hidden="false" customHeight="true" outlineLevel="0" collapsed="false">
      <c r="A21" s="7" t="s">
        <v>54</v>
      </c>
      <c r="B21" s="7"/>
      <c r="C21" s="7"/>
      <c r="D21" s="7"/>
      <c r="E21" s="7"/>
    </row>
    <row r="22" customFormat="false" ht="15" hidden="false" customHeight="true" outlineLevel="0" collapsed="false">
      <c r="A22" s="7" t="s">
        <v>55</v>
      </c>
      <c r="B22" s="7"/>
      <c r="C22" s="7"/>
      <c r="D22" s="7"/>
      <c r="E22" s="7"/>
    </row>
    <row r="23" customFormat="false" ht="15" hidden="false" customHeight="true" outlineLevel="0" collapsed="false">
      <c r="A23" s="7" t="s">
        <v>56</v>
      </c>
      <c r="B23" s="7"/>
      <c r="C23" s="7"/>
      <c r="D23" s="7"/>
      <c r="E23" s="7"/>
    </row>
    <row r="24" customFormat="false" ht="15" hidden="false" customHeight="true" outlineLevel="0" collapsed="false">
      <c r="A24" s="7" t="s">
        <v>57</v>
      </c>
      <c r="B24" s="7"/>
      <c r="C24" s="7"/>
      <c r="D24" s="7"/>
      <c r="E24" s="7"/>
    </row>
    <row r="25" customFormat="false" ht="15" hidden="false" customHeight="true" outlineLevel="0" collapsed="false">
      <c r="A25" s="7" t="s">
        <v>58</v>
      </c>
      <c r="B25" s="7"/>
      <c r="C25" s="7"/>
      <c r="D25" s="7"/>
      <c r="E25" s="7"/>
    </row>
  </sheetData>
  <mergeCells count="7">
    <mergeCell ref="A1:E1"/>
    <mergeCell ref="A2:E2"/>
    <mergeCell ref="A21:E21"/>
    <mergeCell ref="A22:E22"/>
    <mergeCell ref="A23:E23"/>
    <mergeCell ref="A24:E24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4" min="2" style="1" width="16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9"/>
    <col collapsed="false" customWidth="true" hidden="false" outlineLevel="0" max="9" min="9" style="1" width="42"/>
  </cols>
  <sheetData>
    <row r="1" customFormat="false" ht="15" hidden="false" customHeight="true" outlineLevel="0" collapsed="false">
      <c r="A1" s="9" t="s">
        <v>59</v>
      </c>
      <c r="B1" s="9"/>
      <c r="C1" s="9"/>
      <c r="D1" s="9"/>
      <c r="E1" s="9"/>
      <c r="F1" s="9"/>
      <c r="G1" s="9"/>
      <c r="H1" s="9"/>
      <c r="I1" s="9"/>
    </row>
    <row r="2" customFormat="false" ht="23.25" hidden="false" customHeight="true" outlineLevel="0" collapsed="false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4" t="s">
        <v>67</v>
      </c>
      <c r="I2" s="4" t="s">
        <v>68</v>
      </c>
    </row>
    <row r="3" customFormat="false" ht="15" hidden="false" customHeight="true" outlineLevel="0" collapsed="false">
      <c r="A3" s="11" t="n">
        <v>1</v>
      </c>
      <c r="B3" s="7" t="s">
        <v>69</v>
      </c>
      <c r="C3" s="7" t="s">
        <v>70</v>
      </c>
      <c r="D3" s="11"/>
      <c r="E3" s="11"/>
      <c r="F3" s="11" t="s">
        <v>71</v>
      </c>
      <c r="G3" s="11" t="s">
        <v>70</v>
      </c>
      <c r="H3" s="12" t="str">
        <f aca="false">IF(OR(D3="",G3=""),"",IF(D3=G3,1,0))</f>
        <v/>
      </c>
      <c r="I3" s="7" t="s">
        <v>72</v>
      </c>
    </row>
    <row r="4" customFormat="false" ht="15" hidden="false" customHeight="true" outlineLevel="0" collapsed="false">
      <c r="A4" s="11" t="n">
        <v>1</v>
      </c>
      <c r="B4" s="7" t="s">
        <v>73</v>
      </c>
      <c r="C4" s="7" t="s">
        <v>74</v>
      </c>
      <c r="D4" s="11"/>
      <c r="E4" s="11"/>
      <c r="F4" s="11" t="s">
        <v>75</v>
      </c>
      <c r="G4" s="11" t="s">
        <v>74</v>
      </c>
      <c r="H4" s="12" t="str">
        <f aca="false">IF(OR(D4="",G4=""),"",IF(D4=G4,1,0))</f>
        <v/>
      </c>
      <c r="I4" s="7" t="s">
        <v>72</v>
      </c>
    </row>
    <row r="5" customFormat="false" ht="15" hidden="false" customHeight="true" outlineLevel="0" collapsed="false">
      <c r="A5" s="11" t="n">
        <v>1</v>
      </c>
      <c r="B5" s="7" t="s">
        <v>76</v>
      </c>
      <c r="C5" s="7" t="s">
        <v>77</v>
      </c>
      <c r="D5" s="11"/>
      <c r="E5" s="11"/>
      <c r="F5" s="11" t="s">
        <v>78</v>
      </c>
      <c r="G5" s="11" t="s">
        <v>77</v>
      </c>
      <c r="H5" s="12" t="str">
        <f aca="false">IF(OR(D5="",G5=""),"",IF(D5=G5,1,0))</f>
        <v/>
      </c>
      <c r="I5" s="7" t="s">
        <v>72</v>
      </c>
    </row>
    <row r="6" customFormat="false" ht="15" hidden="false" customHeight="true" outlineLevel="0" collapsed="false">
      <c r="A6" s="11" t="n">
        <v>1</v>
      </c>
      <c r="B6" s="7" t="s">
        <v>79</v>
      </c>
      <c r="C6" s="7" t="s">
        <v>80</v>
      </c>
      <c r="D6" s="11"/>
      <c r="E6" s="11"/>
      <c r="F6" s="11" t="s">
        <v>81</v>
      </c>
      <c r="G6" s="11" t="s">
        <v>80</v>
      </c>
      <c r="H6" s="12" t="str">
        <f aca="false">IF(OR(D6="",G6=""),"",IF(D6=G6,1,0))</f>
        <v/>
      </c>
      <c r="I6" s="7" t="s">
        <v>72</v>
      </c>
    </row>
    <row r="7" customFormat="false" ht="15" hidden="false" customHeight="true" outlineLevel="0" collapsed="false">
      <c r="A7" s="11" t="n">
        <v>1</v>
      </c>
      <c r="B7" s="7" t="s">
        <v>82</v>
      </c>
      <c r="C7" s="7" t="s">
        <v>83</v>
      </c>
      <c r="D7" s="11"/>
      <c r="E7" s="11"/>
      <c r="F7" s="11" t="s">
        <v>84</v>
      </c>
      <c r="G7" s="11" t="s">
        <v>83</v>
      </c>
      <c r="H7" s="12" t="str">
        <f aca="false">IF(OR(D7="",G7=""),"",IF(D7=G7,1,0))</f>
        <v/>
      </c>
      <c r="I7" s="7" t="s">
        <v>72</v>
      </c>
    </row>
    <row r="8" customFormat="false" ht="15" hidden="false" customHeight="true" outlineLevel="0" collapsed="false">
      <c r="A8" s="11" t="n">
        <v>1</v>
      </c>
      <c r="B8" s="7" t="s">
        <v>85</v>
      </c>
      <c r="C8" s="7" t="s">
        <v>86</v>
      </c>
      <c r="D8" s="11"/>
      <c r="E8" s="11"/>
      <c r="F8" s="11" t="s">
        <v>87</v>
      </c>
      <c r="G8" s="11" t="s">
        <v>86</v>
      </c>
      <c r="H8" s="12" t="str">
        <f aca="false">IF(OR(D8="",G8=""),"",IF(D8=G8,1,0))</f>
        <v/>
      </c>
      <c r="I8" s="7" t="s">
        <v>72</v>
      </c>
    </row>
    <row r="9" customFormat="false" ht="15" hidden="false" customHeight="true" outlineLevel="0" collapsed="false">
      <c r="A9" s="11" t="n">
        <v>1</v>
      </c>
      <c r="B9" s="7" t="s">
        <v>88</v>
      </c>
      <c r="C9" s="7" t="s">
        <v>89</v>
      </c>
      <c r="D9" s="11"/>
      <c r="E9" s="11"/>
      <c r="F9" s="11" t="s">
        <v>90</v>
      </c>
      <c r="G9" s="11" t="s">
        <v>89</v>
      </c>
      <c r="H9" s="12" t="str">
        <f aca="false">IF(OR(D9="",G9=""),"",IF(D9=G9,1,0))</f>
        <v/>
      </c>
      <c r="I9" s="7" t="s">
        <v>72</v>
      </c>
    </row>
    <row r="10" customFormat="false" ht="15" hidden="false" customHeight="true" outlineLevel="0" collapsed="false">
      <c r="A10" s="11" t="n">
        <v>1</v>
      </c>
      <c r="B10" s="7" t="s">
        <v>91</v>
      </c>
      <c r="C10" s="7" t="s">
        <v>92</v>
      </c>
      <c r="D10" s="11"/>
      <c r="E10" s="11"/>
      <c r="F10" s="11" t="s">
        <v>93</v>
      </c>
      <c r="G10" s="11" t="s">
        <v>92</v>
      </c>
      <c r="H10" s="12" t="str">
        <f aca="false">IF(OR(D10="",G10=""),"",IF(D10=G10,1,0))</f>
        <v/>
      </c>
      <c r="I10" s="7" t="s">
        <v>72</v>
      </c>
    </row>
    <row r="11" customFormat="false" ht="15" hidden="false" customHeight="true" outlineLevel="0" collapsed="false">
      <c r="A11" s="11" t="n">
        <v>1</v>
      </c>
      <c r="B11" s="7" t="s">
        <v>94</v>
      </c>
      <c r="C11" s="7" t="s">
        <v>95</v>
      </c>
      <c r="D11" s="11"/>
      <c r="E11" s="11"/>
      <c r="F11" s="11" t="s">
        <v>96</v>
      </c>
      <c r="G11" s="11" t="s">
        <v>95</v>
      </c>
      <c r="H11" s="12" t="str">
        <f aca="false">IF(OR(D11="",G11=""),"",IF(D11=G11,1,0))</f>
        <v/>
      </c>
      <c r="I11" s="7" t="s">
        <v>72</v>
      </c>
    </row>
    <row r="12" customFormat="false" ht="15" hidden="false" customHeight="true" outlineLevel="0" collapsed="false">
      <c r="A12" s="11" t="n">
        <v>1</v>
      </c>
      <c r="B12" s="7" t="s">
        <v>97</v>
      </c>
      <c r="C12" s="7" t="s">
        <v>98</v>
      </c>
      <c r="D12" s="11"/>
      <c r="E12" s="11"/>
      <c r="F12" s="11" t="s">
        <v>99</v>
      </c>
      <c r="G12" s="11" t="s">
        <v>98</v>
      </c>
      <c r="H12" s="12" t="str">
        <f aca="false">IF(OR(D12="",G12=""),"",IF(D12=G12,1,0))</f>
        <v/>
      </c>
      <c r="I12" s="7" t="s">
        <v>72</v>
      </c>
    </row>
    <row r="13" customFormat="false" ht="15" hidden="false" customHeight="true" outlineLevel="0" collapsed="false">
      <c r="A13" s="11" t="n">
        <v>1</v>
      </c>
      <c r="B13" s="7" t="s">
        <v>100</v>
      </c>
      <c r="C13" s="7" t="s">
        <v>101</v>
      </c>
      <c r="D13" s="11"/>
      <c r="E13" s="11"/>
      <c r="F13" s="11" t="s">
        <v>102</v>
      </c>
      <c r="G13" s="11" t="s">
        <v>101</v>
      </c>
      <c r="H13" s="12" t="str">
        <f aca="false">IF(OR(D13="",G13=""),"",IF(D13=G13,1,0))</f>
        <v/>
      </c>
      <c r="I13" s="7" t="s">
        <v>72</v>
      </c>
    </row>
    <row r="14" customFormat="false" ht="15" hidden="false" customHeight="true" outlineLevel="0" collapsed="false">
      <c r="A14" s="11" t="n">
        <v>1</v>
      </c>
      <c r="B14" s="7" t="s">
        <v>103</v>
      </c>
      <c r="C14" s="7" t="s">
        <v>104</v>
      </c>
      <c r="D14" s="11"/>
      <c r="E14" s="11"/>
      <c r="F14" s="11" t="s">
        <v>105</v>
      </c>
      <c r="G14" s="11" t="s">
        <v>104</v>
      </c>
      <c r="H14" s="12" t="str">
        <f aca="false">IF(OR(D14="",G14=""),"",IF(D14=G14,1,0))</f>
        <v/>
      </c>
      <c r="I14" s="7" t="s">
        <v>72</v>
      </c>
    </row>
    <row r="15" customFormat="false" ht="15" hidden="false" customHeight="true" outlineLevel="0" collapsed="false">
      <c r="A15" s="11" t="n">
        <v>1</v>
      </c>
      <c r="B15" s="7" t="s">
        <v>106</v>
      </c>
      <c r="C15" s="7" t="s">
        <v>107</v>
      </c>
      <c r="D15" s="11"/>
      <c r="E15" s="11"/>
      <c r="F15" s="11" t="s">
        <v>108</v>
      </c>
      <c r="G15" s="11" t="s">
        <v>107</v>
      </c>
      <c r="H15" s="12" t="str">
        <f aca="false">IF(OR(D15="",G15=""),"",IF(D15=G15,1,0))</f>
        <v/>
      </c>
      <c r="I15" s="7" t="s">
        <v>72</v>
      </c>
    </row>
    <row r="16" customFormat="false" ht="15" hidden="false" customHeight="true" outlineLevel="0" collapsed="false">
      <c r="A16" s="11" t="n">
        <v>1</v>
      </c>
      <c r="B16" s="7" t="s">
        <v>109</v>
      </c>
      <c r="C16" s="7" t="s">
        <v>110</v>
      </c>
      <c r="D16" s="11"/>
      <c r="E16" s="11"/>
      <c r="F16" s="11" t="s">
        <v>111</v>
      </c>
      <c r="G16" s="11" t="s">
        <v>110</v>
      </c>
      <c r="H16" s="12" t="str">
        <f aca="false">IF(OR(D16="",G16=""),"",IF(D16=G16,1,0))</f>
        <v/>
      </c>
      <c r="I16" s="7" t="s">
        <v>72</v>
      </c>
    </row>
    <row r="17" customFormat="false" ht="15" hidden="false" customHeight="true" outlineLevel="0" collapsed="false">
      <c r="A17" s="11" t="n">
        <v>1</v>
      </c>
      <c r="B17" s="7" t="s">
        <v>112</v>
      </c>
      <c r="C17" s="7" t="s">
        <v>113</v>
      </c>
      <c r="D17" s="11"/>
      <c r="E17" s="11"/>
      <c r="F17" s="11" t="s">
        <v>114</v>
      </c>
      <c r="G17" s="11" t="s">
        <v>113</v>
      </c>
      <c r="H17" s="12" t="str">
        <f aca="false">IF(OR(D17="",G17=""),"",IF(D17=G17,1,0))</f>
        <v/>
      </c>
      <c r="I17" s="7" t="s">
        <v>72</v>
      </c>
    </row>
    <row r="18" customFormat="false" ht="15" hidden="false" customHeight="true" outlineLevel="0" collapsed="false">
      <c r="A18" s="11" t="n">
        <v>1</v>
      </c>
      <c r="B18" s="7" t="s">
        <v>115</v>
      </c>
      <c r="C18" s="7" t="s">
        <v>116</v>
      </c>
      <c r="D18" s="11"/>
      <c r="E18" s="11"/>
      <c r="F18" s="11" t="s">
        <v>117</v>
      </c>
      <c r="G18" s="11" t="s">
        <v>116</v>
      </c>
      <c r="H18" s="12" t="str">
        <f aca="false">IF(OR(D18="",G18=""),"",IF(D18=G18,1,0))</f>
        <v/>
      </c>
      <c r="I18" s="7" t="s">
        <v>72</v>
      </c>
    </row>
    <row r="19" customFormat="false" ht="15" hidden="false" customHeight="true" outlineLevel="0" collapsed="false">
      <c r="A19" s="11" t="n">
        <v>2</v>
      </c>
      <c r="B19" s="7" t="s">
        <v>98</v>
      </c>
      <c r="C19" s="7" t="s">
        <v>80</v>
      </c>
      <c r="D19" s="11"/>
      <c r="E19" s="11"/>
      <c r="F19" s="11" t="s">
        <v>118</v>
      </c>
      <c r="G19" s="11" t="s">
        <v>80</v>
      </c>
      <c r="H19" s="12" t="str">
        <f aca="false">IF(OR(D19="",G19=""),"",IF(D19=G19,1,0))</f>
        <v/>
      </c>
      <c r="I19" s="7" t="s">
        <v>72</v>
      </c>
    </row>
    <row r="20" customFormat="false" ht="15" hidden="false" customHeight="true" outlineLevel="0" collapsed="false">
      <c r="A20" s="11" t="n">
        <v>2</v>
      </c>
      <c r="B20" s="7" t="s">
        <v>107</v>
      </c>
      <c r="C20" s="7" t="s">
        <v>83</v>
      </c>
      <c r="D20" s="11"/>
      <c r="E20" s="11"/>
      <c r="F20" s="11" t="s">
        <v>119</v>
      </c>
      <c r="G20" s="11" t="s">
        <v>107</v>
      </c>
      <c r="H20" s="12" t="str">
        <f aca="false">IF(OR(D20="",G20=""),"",IF(D20=G20,1,0))</f>
        <v/>
      </c>
      <c r="I20" s="7" t="s">
        <v>72</v>
      </c>
    </row>
    <row r="21" customFormat="false" ht="15" hidden="false" customHeight="true" outlineLevel="0" collapsed="false">
      <c r="A21" s="11" t="n">
        <v>2</v>
      </c>
      <c r="B21" s="7" t="s">
        <v>110</v>
      </c>
      <c r="C21" s="7" t="s">
        <v>76</v>
      </c>
      <c r="D21" s="11"/>
      <c r="E21" s="11"/>
      <c r="F21" s="11" t="s">
        <v>120</v>
      </c>
      <c r="G21" s="11" t="s">
        <v>110</v>
      </c>
      <c r="H21" s="12" t="str">
        <f aca="false">IF(OR(D21="",G21=""),"",IF(D21=G21,1,0))</f>
        <v/>
      </c>
      <c r="I21" s="7" t="s">
        <v>72</v>
      </c>
    </row>
    <row r="22" customFormat="false" ht="15" hidden="false" customHeight="true" outlineLevel="0" collapsed="false">
      <c r="A22" s="11" t="n">
        <v>2</v>
      </c>
      <c r="B22" s="7" t="s">
        <v>95</v>
      </c>
      <c r="C22" s="7" t="s">
        <v>79</v>
      </c>
      <c r="D22" s="11"/>
      <c r="E22" s="11"/>
      <c r="F22" s="11" t="s">
        <v>121</v>
      </c>
      <c r="G22" s="11" t="s">
        <v>95</v>
      </c>
      <c r="H22" s="12" t="str">
        <f aca="false">IF(OR(D22="",G22=""),"",IF(D22=G22,1,0))</f>
        <v/>
      </c>
      <c r="I22" s="7" t="s">
        <v>72</v>
      </c>
    </row>
    <row r="23" customFormat="false" ht="15" hidden="false" customHeight="true" outlineLevel="0" collapsed="false">
      <c r="A23" s="11" t="n">
        <v>2</v>
      </c>
      <c r="B23" s="7" t="s">
        <v>85</v>
      </c>
      <c r="C23" s="7" t="s">
        <v>94</v>
      </c>
      <c r="D23" s="11"/>
      <c r="E23" s="11"/>
      <c r="F23" s="11" t="s">
        <v>122</v>
      </c>
      <c r="G23" s="11" t="s">
        <v>85</v>
      </c>
      <c r="H23" s="12" t="str">
        <f aca="false">IF(OR(D23="",G23=""),"",IF(D23=G23,1,0))</f>
        <v/>
      </c>
      <c r="I23" s="7" t="s">
        <v>72</v>
      </c>
    </row>
    <row r="24" customFormat="false" ht="15" hidden="false" customHeight="true" outlineLevel="0" collapsed="false">
      <c r="A24" s="11" t="n">
        <v>2</v>
      </c>
      <c r="B24" s="7" t="s">
        <v>89</v>
      </c>
      <c r="C24" s="7" t="s">
        <v>69</v>
      </c>
      <c r="D24" s="11"/>
      <c r="E24" s="11"/>
      <c r="F24" s="11" t="s">
        <v>123</v>
      </c>
      <c r="G24" s="11" t="s">
        <v>69</v>
      </c>
      <c r="H24" s="12" t="str">
        <f aca="false">IF(OR(D24="",G24=""),"",IF(D24=G24,1,0))</f>
        <v/>
      </c>
      <c r="I24" s="7" t="s">
        <v>72</v>
      </c>
    </row>
    <row r="25" customFormat="false" ht="15" hidden="false" customHeight="true" outlineLevel="0" collapsed="false">
      <c r="A25" s="11" t="n">
        <v>2</v>
      </c>
      <c r="B25" s="7" t="s">
        <v>77</v>
      </c>
      <c r="C25" s="7" t="s">
        <v>106</v>
      </c>
      <c r="D25" s="11"/>
      <c r="E25" s="11"/>
      <c r="F25" s="11" t="s">
        <v>124</v>
      </c>
      <c r="G25" s="11" t="s">
        <v>106</v>
      </c>
      <c r="H25" s="12" t="str">
        <f aca="false">IF(OR(D25="",G25=""),"",IF(D25=G25,1,0))</f>
        <v/>
      </c>
      <c r="I25" s="7" t="s">
        <v>72</v>
      </c>
    </row>
    <row r="26" customFormat="false" ht="15" hidden="false" customHeight="true" outlineLevel="0" collapsed="false">
      <c r="A26" s="11" t="n">
        <v>2</v>
      </c>
      <c r="B26" s="7" t="s">
        <v>88</v>
      </c>
      <c r="C26" s="7" t="s">
        <v>82</v>
      </c>
      <c r="D26" s="11"/>
      <c r="E26" s="11"/>
      <c r="F26" s="11" t="s">
        <v>125</v>
      </c>
      <c r="G26" s="11" t="s">
        <v>82</v>
      </c>
      <c r="H26" s="12" t="str">
        <f aca="false">IF(OR(D26="",G26=""),"",IF(D26=G26,1,0))</f>
        <v/>
      </c>
      <c r="I26" s="7" t="s">
        <v>72</v>
      </c>
    </row>
    <row r="27" customFormat="false" ht="15" hidden="false" customHeight="true" outlineLevel="0" collapsed="false">
      <c r="A27" s="11" t="n">
        <v>2</v>
      </c>
      <c r="B27" s="7" t="s">
        <v>92</v>
      </c>
      <c r="C27" s="7" t="s">
        <v>97</v>
      </c>
      <c r="D27" s="11"/>
      <c r="E27" s="11"/>
      <c r="F27" s="11" t="s">
        <v>126</v>
      </c>
      <c r="G27" s="11" t="s">
        <v>97</v>
      </c>
      <c r="H27" s="12" t="str">
        <f aca="false">IF(OR(D27="",G27=""),"",IF(D27=G27,1,0))</f>
        <v/>
      </c>
      <c r="I27" s="7" t="s">
        <v>72</v>
      </c>
    </row>
    <row r="28" customFormat="false" ht="15" hidden="false" customHeight="true" outlineLevel="0" collapsed="false">
      <c r="A28" s="11" t="n">
        <v>2</v>
      </c>
      <c r="B28" s="7" t="s">
        <v>103</v>
      </c>
      <c r="C28" s="7" t="s">
        <v>101</v>
      </c>
      <c r="D28" s="11"/>
      <c r="E28" s="11"/>
      <c r="F28" s="11" t="s">
        <v>105</v>
      </c>
      <c r="G28" s="11" t="s">
        <v>101</v>
      </c>
      <c r="H28" s="12" t="str">
        <f aca="false">IF(OR(D28="",G28=""),"",IF(D28=G28,1,0))</f>
        <v/>
      </c>
      <c r="I28" s="7" t="s">
        <v>72</v>
      </c>
    </row>
    <row r="29" customFormat="false" ht="15" hidden="false" customHeight="true" outlineLevel="0" collapsed="false">
      <c r="A29" s="11" t="n">
        <v>2</v>
      </c>
      <c r="B29" s="7" t="s">
        <v>86</v>
      </c>
      <c r="C29" s="7" t="s">
        <v>115</v>
      </c>
      <c r="D29" s="11"/>
      <c r="E29" s="11"/>
      <c r="F29" s="11" t="s">
        <v>90</v>
      </c>
      <c r="G29" s="11" t="s">
        <v>115</v>
      </c>
      <c r="H29" s="12" t="str">
        <f aca="false">IF(OR(D29="",G29=""),"",IF(D29=G29,1,0))</f>
        <v/>
      </c>
      <c r="I29" s="7" t="s">
        <v>72</v>
      </c>
    </row>
    <row r="30" customFormat="false" ht="15" hidden="false" customHeight="true" outlineLevel="0" collapsed="false">
      <c r="A30" s="11" t="n">
        <v>2</v>
      </c>
      <c r="B30" s="7" t="s">
        <v>100</v>
      </c>
      <c r="C30" s="7" t="s">
        <v>74</v>
      </c>
      <c r="D30" s="11"/>
      <c r="E30" s="11"/>
      <c r="F30" s="11" t="s">
        <v>127</v>
      </c>
      <c r="G30" s="11" t="s">
        <v>74</v>
      </c>
      <c r="H30" s="12" t="str">
        <f aca="false">IF(OR(D30="",G30=""),"",IF(D30=G30,1,0))</f>
        <v/>
      </c>
      <c r="I30" s="7" t="s">
        <v>72</v>
      </c>
    </row>
    <row r="31" customFormat="false" ht="15" hidden="false" customHeight="true" outlineLevel="0" collapsed="false">
      <c r="A31" s="11" t="n">
        <v>2</v>
      </c>
      <c r="B31" s="7" t="s">
        <v>104</v>
      </c>
      <c r="C31" s="7" t="s">
        <v>70</v>
      </c>
      <c r="D31" s="11"/>
      <c r="E31" s="11"/>
      <c r="F31" s="11" t="s">
        <v>128</v>
      </c>
      <c r="G31" s="11" t="s">
        <v>70</v>
      </c>
      <c r="H31" s="12" t="str">
        <f aca="false">IF(OR(D31="",G31=""),"",IF(D31=G31,1,0))</f>
        <v/>
      </c>
      <c r="I31" s="7" t="s">
        <v>72</v>
      </c>
    </row>
    <row r="32" customFormat="false" ht="15" hidden="false" customHeight="true" outlineLevel="0" collapsed="false">
      <c r="A32" s="11" t="n">
        <v>2</v>
      </c>
      <c r="B32" s="7" t="s">
        <v>109</v>
      </c>
      <c r="C32" s="7" t="s">
        <v>112</v>
      </c>
      <c r="D32" s="11"/>
      <c r="E32" s="11"/>
      <c r="F32" s="11" t="s">
        <v>129</v>
      </c>
      <c r="G32" s="11" t="s">
        <v>112</v>
      </c>
      <c r="H32" s="12" t="str">
        <f aca="false">IF(OR(D32="",G32=""),"",IF(D32=G32,1,0))</f>
        <v/>
      </c>
      <c r="I32" s="7" t="s">
        <v>72</v>
      </c>
    </row>
    <row r="33" customFormat="false" ht="15" hidden="false" customHeight="true" outlineLevel="0" collapsed="false">
      <c r="A33" s="11" t="n">
        <v>2</v>
      </c>
      <c r="B33" s="7" t="s">
        <v>91</v>
      </c>
      <c r="C33" s="7" t="s">
        <v>116</v>
      </c>
      <c r="D33" s="11"/>
      <c r="E33" s="11"/>
      <c r="F33" s="11" t="s">
        <v>130</v>
      </c>
      <c r="G33" s="11" t="s">
        <v>116</v>
      </c>
      <c r="H33" s="12" t="str">
        <f aca="false">IF(OR(D33="",G33=""),"",IF(D33=G33,1,0))</f>
        <v/>
      </c>
      <c r="I33" s="7" t="s">
        <v>72</v>
      </c>
    </row>
    <row r="34" customFormat="false" ht="15" hidden="false" customHeight="true" outlineLevel="0" collapsed="false">
      <c r="A34" s="11" t="n">
        <v>2</v>
      </c>
      <c r="B34" s="7" t="s">
        <v>113</v>
      </c>
      <c r="C34" s="7" t="s">
        <v>73</v>
      </c>
      <c r="D34" s="11" t="s">
        <v>73</v>
      </c>
      <c r="E34" s="11" t="n">
        <v>5</v>
      </c>
      <c r="F34" s="11" t="s">
        <v>131</v>
      </c>
      <c r="G34" s="11" t="s">
        <v>73</v>
      </c>
      <c r="H34" s="12" t="n">
        <f aca="false">IF(OR(D34="",G34=""),"",IF(D34=G34,1,0))</f>
        <v>1</v>
      </c>
      <c r="I34" s="7" t="s">
        <v>132</v>
      </c>
    </row>
    <row r="35" customFormat="false" ht="23.25" hidden="false" customHeight="true" outlineLevel="0" collapsed="false">
      <c r="A35" s="13" t="n">
        <v>3</v>
      </c>
      <c r="B35" s="14" t="s">
        <v>88</v>
      </c>
      <c r="C35" s="14" t="s">
        <v>106</v>
      </c>
      <c r="D35" s="13" t="s">
        <v>106</v>
      </c>
      <c r="E35" s="13" t="n">
        <v>6</v>
      </c>
      <c r="F35" s="13"/>
      <c r="G35" s="13"/>
      <c r="H35" s="12" t="str">
        <f aca="false">IF(OR(D35="",G35=""),"",IF(D35=G35,1,0))</f>
        <v/>
      </c>
      <c r="I35" s="14" t="s">
        <v>133</v>
      </c>
    </row>
    <row r="36" customFormat="false" ht="35.05" hidden="false" customHeight="false" outlineLevel="0" collapsed="false">
      <c r="A36" s="13" t="n">
        <v>3</v>
      </c>
      <c r="B36" s="14" t="s">
        <v>79</v>
      </c>
      <c r="C36" s="14" t="s">
        <v>91</v>
      </c>
      <c r="D36" s="13" t="s">
        <v>91</v>
      </c>
      <c r="E36" s="13" t="n">
        <v>5</v>
      </c>
      <c r="F36" s="13"/>
      <c r="G36" s="13"/>
      <c r="H36" s="12" t="str">
        <f aca="false">IF(OR(D36="",G36=""),"",IF(D36=G36,1,0))</f>
        <v/>
      </c>
      <c r="I36" s="14" t="s">
        <v>134</v>
      </c>
    </row>
    <row r="37" customFormat="false" ht="15" hidden="false" customHeight="true" outlineLevel="0" collapsed="false">
      <c r="A37" s="13" t="n">
        <v>3</v>
      </c>
      <c r="B37" s="14" t="s">
        <v>116</v>
      </c>
      <c r="C37" s="14" t="s">
        <v>100</v>
      </c>
      <c r="D37" s="13" t="s">
        <v>116</v>
      </c>
      <c r="E37" s="13" t="n">
        <v>9</v>
      </c>
      <c r="F37" s="13"/>
      <c r="G37" s="13"/>
      <c r="H37" s="12" t="str">
        <f aca="false">IF(OR(D37="",G37=""),"",IF(D37=G37,1,0))</f>
        <v/>
      </c>
      <c r="I37" s="14" t="s">
        <v>135</v>
      </c>
    </row>
    <row r="38" customFormat="false" ht="23.85" hidden="false" customHeight="false" outlineLevel="0" collapsed="false">
      <c r="A38" s="13" t="n">
        <v>3</v>
      </c>
      <c r="B38" s="14" t="s">
        <v>103</v>
      </c>
      <c r="C38" s="14" t="s">
        <v>80</v>
      </c>
      <c r="D38" s="13" t="s">
        <v>80</v>
      </c>
      <c r="E38" s="13" t="n">
        <v>8</v>
      </c>
      <c r="F38" s="13"/>
      <c r="G38" s="13"/>
      <c r="H38" s="12" t="str">
        <f aca="false">IF(OR(D38="",G38=""),"",IF(D38=G38,1,0))</f>
        <v/>
      </c>
      <c r="I38" s="14" t="s">
        <v>136</v>
      </c>
    </row>
    <row r="39" customFormat="false" ht="35.05" hidden="false" customHeight="false" outlineLevel="0" collapsed="false">
      <c r="A39" s="13" t="n">
        <v>3</v>
      </c>
      <c r="B39" s="14" t="s">
        <v>76</v>
      </c>
      <c r="C39" s="14" t="s">
        <v>113</v>
      </c>
      <c r="D39" s="13" t="s">
        <v>113</v>
      </c>
      <c r="E39" s="13" t="n">
        <v>5</v>
      </c>
      <c r="F39" s="13"/>
      <c r="G39" s="13"/>
      <c r="H39" s="12" t="str">
        <f aca="false">IF(OR(D39="",G39=""),"",IF(D39=G39,1,0))</f>
        <v/>
      </c>
      <c r="I39" s="14" t="s">
        <v>137</v>
      </c>
    </row>
    <row r="40" customFormat="false" ht="35.05" hidden="false" customHeight="false" outlineLevel="0" collapsed="false">
      <c r="A40" s="13" t="n">
        <v>3</v>
      </c>
      <c r="B40" s="14" t="s">
        <v>95</v>
      </c>
      <c r="C40" s="14" t="s">
        <v>89</v>
      </c>
      <c r="D40" s="13" t="s">
        <v>95</v>
      </c>
      <c r="E40" s="13" t="n">
        <v>6</v>
      </c>
      <c r="F40" s="13"/>
      <c r="G40" s="13"/>
      <c r="H40" s="12" t="str">
        <f aca="false">IF(OR(D40="",G40=""),"",IF(D40=G40,1,0))</f>
        <v/>
      </c>
      <c r="I40" s="14" t="s">
        <v>138</v>
      </c>
    </row>
    <row r="41" customFormat="false" ht="35.05" hidden="false" customHeight="false" outlineLevel="0" collapsed="false">
      <c r="A41" s="13" t="n">
        <v>3</v>
      </c>
      <c r="B41" s="14" t="s">
        <v>70</v>
      </c>
      <c r="C41" s="14" t="s">
        <v>109</v>
      </c>
      <c r="D41" s="13" t="s">
        <v>70</v>
      </c>
      <c r="E41" s="13" t="n">
        <v>8</v>
      </c>
      <c r="F41" s="13"/>
      <c r="G41" s="13"/>
      <c r="H41" s="12" t="str">
        <f aca="false">IF(OR(D41="",G41=""),"",IF(D41=G41,1,0))</f>
        <v/>
      </c>
      <c r="I41" s="14" t="s">
        <v>139</v>
      </c>
    </row>
    <row r="42" customFormat="false" ht="23.85" hidden="false" customHeight="false" outlineLevel="0" collapsed="false">
      <c r="A42" s="13" t="n">
        <v>3</v>
      </c>
      <c r="B42" s="14" t="s">
        <v>69</v>
      </c>
      <c r="C42" s="14" t="s">
        <v>86</v>
      </c>
      <c r="D42" s="13" t="s">
        <v>86</v>
      </c>
      <c r="E42" s="13" t="n">
        <v>6</v>
      </c>
      <c r="F42" s="13"/>
      <c r="G42" s="13"/>
      <c r="H42" s="12" t="str">
        <f aca="false">IF(OR(D42="",G42=""),"",IF(D42=G42,1,0))</f>
        <v/>
      </c>
      <c r="I42" s="14" t="s">
        <v>140</v>
      </c>
    </row>
    <row r="43" customFormat="false" ht="23.85" hidden="false" customHeight="false" outlineLevel="0" collapsed="false">
      <c r="A43" s="13" t="n">
        <v>3</v>
      </c>
      <c r="B43" s="14" t="s">
        <v>82</v>
      </c>
      <c r="C43" s="14" t="s">
        <v>85</v>
      </c>
      <c r="D43" s="13" t="s">
        <v>85</v>
      </c>
      <c r="E43" s="13" t="n">
        <v>5</v>
      </c>
      <c r="F43" s="13"/>
      <c r="G43" s="13"/>
      <c r="H43" s="12" t="str">
        <f aca="false">IF(OR(D43="",G43=""),"",IF(D43=G43,1,0))</f>
        <v/>
      </c>
      <c r="I43" s="14" t="s">
        <v>141</v>
      </c>
    </row>
    <row r="44" customFormat="false" ht="23.85" hidden="false" customHeight="false" outlineLevel="0" collapsed="false">
      <c r="A44" s="13" t="n">
        <v>3</v>
      </c>
      <c r="B44" s="14" t="s">
        <v>77</v>
      </c>
      <c r="C44" s="14" t="s">
        <v>98</v>
      </c>
      <c r="D44" s="13" t="s">
        <v>98</v>
      </c>
      <c r="E44" s="13" t="n">
        <v>7</v>
      </c>
      <c r="F44" s="13"/>
      <c r="G44" s="13"/>
      <c r="H44" s="12" t="str">
        <f aca="false">IF(OR(D44="",G44=""),"",IF(D44=G44,1,0))</f>
        <v/>
      </c>
      <c r="I44" s="14" t="s">
        <v>142</v>
      </c>
    </row>
    <row r="45" customFormat="false" ht="23.85" hidden="false" customHeight="false" outlineLevel="0" collapsed="false">
      <c r="A45" s="13" t="n">
        <v>3</v>
      </c>
      <c r="B45" s="14" t="s">
        <v>104</v>
      </c>
      <c r="C45" s="14" t="s">
        <v>74</v>
      </c>
      <c r="D45" s="13" t="s">
        <v>74</v>
      </c>
      <c r="E45" s="13" t="n">
        <v>8</v>
      </c>
      <c r="F45" s="13"/>
      <c r="G45" s="13"/>
      <c r="H45" s="12" t="str">
        <f aca="false">IF(OR(D45="",G45=""),"",IF(D45=G45,1,0))</f>
        <v/>
      </c>
      <c r="I45" s="14" t="s">
        <v>143</v>
      </c>
    </row>
    <row r="46" customFormat="false" ht="35.05" hidden="false" customHeight="false" outlineLevel="0" collapsed="false">
      <c r="A46" s="13" t="n">
        <v>3</v>
      </c>
      <c r="B46" s="14" t="s">
        <v>107</v>
      </c>
      <c r="C46" s="14" t="s">
        <v>94</v>
      </c>
      <c r="D46" s="13" t="s">
        <v>107</v>
      </c>
      <c r="E46" s="13" t="n">
        <v>7</v>
      </c>
      <c r="F46" s="13"/>
      <c r="G46" s="13"/>
      <c r="H46" s="12" t="str">
        <f aca="false">IF(OR(D46="",G46=""),"",IF(D46=G46,1,0))</f>
        <v/>
      </c>
      <c r="I46" s="14" t="s">
        <v>144</v>
      </c>
    </row>
    <row r="47" customFormat="false" ht="23.85" hidden="false" customHeight="false" outlineLevel="0" collapsed="false">
      <c r="A47" s="13" t="n">
        <v>3</v>
      </c>
      <c r="B47" s="14" t="s">
        <v>101</v>
      </c>
      <c r="C47" s="14" t="s">
        <v>97</v>
      </c>
      <c r="D47" s="13" t="s">
        <v>97</v>
      </c>
      <c r="E47" s="13" t="n">
        <v>5</v>
      </c>
      <c r="F47" s="13"/>
      <c r="G47" s="13"/>
      <c r="H47" s="12" t="str">
        <f aca="false">IF(OR(D47="",G47=""),"",IF(D47=G47,1,0))</f>
        <v/>
      </c>
      <c r="I47" s="14" t="s">
        <v>145</v>
      </c>
    </row>
    <row r="48" customFormat="false" ht="35.05" hidden="false" customHeight="false" outlineLevel="0" collapsed="false">
      <c r="A48" s="13" t="n">
        <v>3</v>
      </c>
      <c r="B48" s="14" t="s">
        <v>92</v>
      </c>
      <c r="C48" s="14" t="s">
        <v>112</v>
      </c>
      <c r="D48" s="13" t="s">
        <v>92</v>
      </c>
      <c r="E48" s="13" t="n">
        <v>6</v>
      </c>
      <c r="F48" s="13"/>
      <c r="G48" s="13"/>
      <c r="H48" s="12" t="str">
        <f aca="false">IF(OR(D48="",G48=""),"",IF(D48=G48,1,0))</f>
        <v/>
      </c>
      <c r="I48" s="14" t="s">
        <v>146</v>
      </c>
    </row>
    <row r="49" customFormat="false" ht="23.85" hidden="false" customHeight="false" outlineLevel="0" collapsed="false">
      <c r="A49" s="13" t="n">
        <v>3</v>
      </c>
      <c r="B49" s="14" t="s">
        <v>73</v>
      </c>
      <c r="C49" s="14" t="s">
        <v>115</v>
      </c>
      <c r="D49" s="13" t="s">
        <v>73</v>
      </c>
      <c r="E49" s="13" t="n">
        <v>6</v>
      </c>
      <c r="F49" s="13"/>
      <c r="G49" s="13"/>
      <c r="H49" s="12" t="str">
        <f aca="false">IF(OR(D49="",G49=""),"",IF(D49=G49,1,0))</f>
        <v/>
      </c>
      <c r="I49" s="14" t="s">
        <v>147</v>
      </c>
    </row>
    <row r="50" customFormat="false" ht="23.85" hidden="false" customHeight="false" outlineLevel="0" collapsed="false">
      <c r="A50" s="13" t="n">
        <v>3</v>
      </c>
      <c r="B50" s="14" t="s">
        <v>110</v>
      </c>
      <c r="C50" s="14" t="s">
        <v>83</v>
      </c>
      <c r="D50" s="13" t="s">
        <v>110</v>
      </c>
      <c r="E50" s="13" t="n">
        <v>7</v>
      </c>
      <c r="F50" s="13"/>
      <c r="G50" s="13"/>
      <c r="H50" s="12" t="str">
        <f aca="false">IF(OR(D50="",G50=""),"",IF(D50=G50,1,0))</f>
        <v/>
      </c>
      <c r="I50" s="14" t="s">
        <v>148</v>
      </c>
    </row>
    <row r="52" customFormat="false" ht="15" hidden="false" customHeight="true" outlineLevel="0" collapsed="false">
      <c r="A52" s="14" t="s">
        <v>149</v>
      </c>
      <c r="B52" s="14"/>
      <c r="C52" s="14"/>
      <c r="D52" s="14"/>
      <c r="E52" s="14"/>
      <c r="F52" s="14"/>
      <c r="G52" s="14"/>
      <c r="H52" s="14"/>
      <c r="I52" s="14"/>
    </row>
  </sheetData>
  <mergeCells count="2">
    <mergeCell ref="A1:I1"/>
    <mergeCell ref="A52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12"/>
  </cols>
  <sheetData>
    <row r="1" customFormat="false" ht="26.25" hidden="false" customHeight="true" outlineLevel="0" collapsed="false">
      <c r="A1" s="9" t="s">
        <v>150</v>
      </c>
      <c r="B1" s="9"/>
      <c r="C1" s="9"/>
      <c r="D1" s="9"/>
      <c r="E1" s="9"/>
    </row>
    <row r="3" customFormat="false" ht="23.25" hidden="false" customHeight="true" outlineLevel="0" collapsed="false">
      <c r="A3" s="4" t="s">
        <v>151</v>
      </c>
      <c r="B3" s="4" t="s">
        <v>152</v>
      </c>
      <c r="C3" s="4" t="s">
        <v>153</v>
      </c>
      <c r="D3" s="4" t="s">
        <v>154</v>
      </c>
      <c r="E3" s="4" t="s">
        <v>155</v>
      </c>
    </row>
    <row r="4" customFormat="false" ht="15" hidden="false" customHeight="true" outlineLevel="0" collapsed="false">
      <c r="A4" s="10" t="n">
        <v>10</v>
      </c>
      <c r="B4" s="12" t="n">
        <f aca="false">COUNTIFS(PICKS!$E$3:$E$500,10,PICKS!$H$3:$H$500,1)+COUNTIFS(PICKS!$E$3:$E$500,10,PICKS!$H$3:$H$500,0)</f>
        <v>0</v>
      </c>
      <c r="C4" s="12" t="n">
        <f aca="false">COUNTIFS(PICKS!$E$3:$E$500,10,PICKS!$H$3:$H$500,1)</f>
        <v>0</v>
      </c>
      <c r="D4" s="15" t="str">
        <f aca="false">IF(B4=0,"",C4/B4)</f>
        <v/>
      </c>
      <c r="E4" s="11" t="s">
        <v>156</v>
      </c>
    </row>
    <row r="5" customFormat="false" ht="15" hidden="false" customHeight="true" outlineLevel="0" collapsed="false">
      <c r="A5" s="10" t="n">
        <v>9</v>
      </c>
      <c r="B5" s="12" t="n">
        <f aca="false">COUNTIFS(PICKS!$E$3:$E$500,9,PICKS!$H$3:$H$500,1)+COUNTIFS(PICKS!$E$3:$E$500,9,PICKS!$H$3:$H$500,0)</f>
        <v>0</v>
      </c>
      <c r="C5" s="12" t="n">
        <f aca="false">COUNTIFS(PICKS!$E$3:$E$500,9,PICKS!$H$3:$H$500,1)</f>
        <v>0</v>
      </c>
      <c r="D5" s="15" t="str">
        <f aca="false">IF(B5=0,"",C5/B5)</f>
        <v/>
      </c>
      <c r="E5" s="11" t="s">
        <v>157</v>
      </c>
    </row>
    <row r="6" customFormat="false" ht="15" hidden="false" customHeight="true" outlineLevel="0" collapsed="false">
      <c r="A6" s="10" t="n">
        <v>8</v>
      </c>
      <c r="B6" s="12" t="n">
        <f aca="false">COUNTIFS(PICKS!$E$3:$E$500,8,PICKS!$H$3:$H$500,1)+COUNTIFS(PICKS!$E$3:$E$500,8,PICKS!$H$3:$H$500,0)</f>
        <v>0</v>
      </c>
      <c r="C6" s="12" t="n">
        <f aca="false">COUNTIFS(PICKS!$E$3:$E$500,8,PICKS!$H$3:$H$500,1)</f>
        <v>0</v>
      </c>
      <c r="D6" s="15" t="str">
        <f aca="false">IF(B6=0,"",C6/B6)</f>
        <v/>
      </c>
      <c r="E6" s="11" t="s">
        <v>158</v>
      </c>
    </row>
    <row r="7" customFormat="false" ht="15" hidden="false" customHeight="true" outlineLevel="0" collapsed="false">
      <c r="A7" s="10" t="n">
        <v>7</v>
      </c>
      <c r="B7" s="12" t="n">
        <f aca="false">COUNTIFS(PICKS!$E$3:$E$500,7,PICKS!$H$3:$H$500,1)+COUNTIFS(PICKS!$E$3:$E$500,7,PICKS!$H$3:$H$500,0)</f>
        <v>0</v>
      </c>
      <c r="C7" s="12" t="n">
        <f aca="false">COUNTIFS(PICKS!$E$3:$E$500,7,PICKS!$H$3:$H$500,1)</f>
        <v>0</v>
      </c>
      <c r="D7" s="15" t="str">
        <f aca="false">IF(B7=0,"",C7/B7)</f>
        <v/>
      </c>
      <c r="E7" s="11" t="s">
        <v>159</v>
      </c>
    </row>
    <row r="8" customFormat="false" ht="15" hidden="false" customHeight="true" outlineLevel="0" collapsed="false">
      <c r="A8" s="10" t="n">
        <v>6</v>
      </c>
      <c r="B8" s="12" t="n">
        <f aca="false">COUNTIFS(PICKS!$E$3:$E$500,6,PICKS!$H$3:$H$500,1)+COUNTIFS(PICKS!$E$3:$E$500,6,PICKS!$H$3:$H$500,0)</f>
        <v>0</v>
      </c>
      <c r="C8" s="12" t="n">
        <f aca="false">COUNTIFS(PICKS!$E$3:$E$500,6,PICKS!$H$3:$H$500,1)</f>
        <v>0</v>
      </c>
      <c r="D8" s="15" t="str">
        <f aca="false">IF(B8=0,"",C8/B8)</f>
        <v/>
      </c>
      <c r="E8" s="11" t="s">
        <v>160</v>
      </c>
    </row>
    <row r="9" customFormat="false" ht="15" hidden="false" customHeight="true" outlineLevel="0" collapsed="false">
      <c r="A9" s="10" t="n">
        <v>5</v>
      </c>
      <c r="B9" s="12" t="n">
        <f aca="false">COUNTIFS(PICKS!$E$3:$E$500,5,PICKS!$H$3:$H$500,1)+COUNTIFS(PICKS!$E$3:$E$500,5,PICKS!$H$3:$H$500,0)</f>
        <v>1</v>
      </c>
      <c r="C9" s="12" t="n">
        <f aca="false">COUNTIFS(PICKS!$E$3:$E$500,5,PICKS!$H$3:$H$500,1)</f>
        <v>1</v>
      </c>
      <c r="D9" s="15" t="n">
        <f aca="false">IF(B9=0,"",C9/B9)</f>
        <v>1</v>
      </c>
      <c r="E9" s="11" t="s">
        <v>161</v>
      </c>
    </row>
    <row r="10" customFormat="false" ht="15" hidden="false" customHeight="true" outlineLevel="0" collapsed="false">
      <c r="A10" s="10" t="s">
        <v>31</v>
      </c>
      <c r="B10" s="16" t="n">
        <f aca="false">COUNTIFS(PICKS!$H$3:$H$500,1)+COUNTIFS(PICKS!$H$3:$H$500,0)</f>
        <v>1</v>
      </c>
      <c r="C10" s="16" t="n">
        <f aca="false">COUNTIFS(PICKS!$H$3:$H$500,1)</f>
        <v>1</v>
      </c>
      <c r="D10" s="8" t="n">
        <f aca="false">IF(B10=0,"",C10/B10)</f>
        <v>1</v>
      </c>
      <c r="E10" s="10" t="s">
        <v>162</v>
      </c>
    </row>
    <row r="13" customFormat="false" ht="26.25" hidden="false" customHeight="true" outlineLevel="0" collapsed="false">
      <c r="A13" s="9" t="s">
        <v>163</v>
      </c>
    </row>
    <row r="14" customFormat="false" ht="15" hidden="false" customHeight="true" outlineLevel="0" collapsed="false">
      <c r="A14" s="4" t="s">
        <v>60</v>
      </c>
      <c r="B14" s="4" t="s">
        <v>164</v>
      </c>
      <c r="C14" s="4" t="s">
        <v>153</v>
      </c>
      <c r="D14" s="4" t="s">
        <v>154</v>
      </c>
      <c r="E14" s="4"/>
    </row>
    <row r="15" customFormat="false" ht="15" hidden="false" customHeight="true" outlineLevel="0" collapsed="false">
      <c r="A15" s="11" t="n">
        <v>3</v>
      </c>
      <c r="B15" s="12" t="n">
        <f aca="false">COUNTIFS(PICKS!$A$3:$A$500,3,PICKS!$H$3:$H$500,1)+COUNTIFS(PICKS!$A$3:$A$500,3,PICKS!$H$3:$H$500,0)</f>
        <v>0</v>
      </c>
      <c r="C15" s="12" t="n">
        <f aca="false">COUNTIFS(PICKS!$A$3:$A$500,3,PICKS!$H$3:$H$500,1)</f>
        <v>0</v>
      </c>
      <c r="D15" s="15" t="str">
        <f aca="false">IF(B15=0,"",C15/B15)</f>
        <v/>
      </c>
      <c r="E15" s="7"/>
    </row>
    <row r="16" customFormat="false" ht="15" hidden="false" customHeight="true" outlineLevel="0" collapsed="false">
      <c r="A16" s="11" t="n">
        <v>4</v>
      </c>
      <c r="B16" s="12" t="n">
        <f aca="false">COUNTIFS(PICKS!$A$3:$A$500,4,PICKS!$H$3:$H$500,1)+COUNTIFS(PICKS!$A$3:$A$500,4,PICKS!$H$3:$H$500,0)</f>
        <v>0</v>
      </c>
      <c r="C16" s="12" t="n">
        <f aca="false">COUNTIFS(PICKS!$A$3:$A$500,4,PICKS!$H$3:$H$500,1)</f>
        <v>0</v>
      </c>
      <c r="D16" s="15" t="str">
        <f aca="false">IF(B16=0,"",C16/B16)</f>
        <v/>
      </c>
      <c r="E16" s="7"/>
    </row>
    <row r="17" customFormat="false" ht="15" hidden="false" customHeight="true" outlineLevel="0" collapsed="false">
      <c r="A17" s="11" t="n">
        <v>5</v>
      </c>
      <c r="B17" s="12" t="n">
        <f aca="false">COUNTIFS(PICKS!$A$3:$A$500,5,PICKS!$H$3:$H$500,1)+COUNTIFS(PICKS!$A$3:$A$500,5,PICKS!$H$3:$H$500,0)</f>
        <v>0</v>
      </c>
      <c r="C17" s="12" t="n">
        <f aca="false">COUNTIFS(PICKS!$A$3:$A$500,5,PICKS!$H$3:$H$500,1)</f>
        <v>0</v>
      </c>
      <c r="D17" s="15" t="str">
        <f aca="false">IF(B17=0,"",C17/B17)</f>
        <v/>
      </c>
      <c r="E17" s="7"/>
    </row>
    <row r="18" customFormat="false" ht="15" hidden="false" customHeight="true" outlineLevel="0" collapsed="false">
      <c r="A18" s="11" t="n">
        <v>6</v>
      </c>
      <c r="B18" s="12" t="n">
        <f aca="false">COUNTIFS(PICKS!$A$3:$A$500,6,PICKS!$H$3:$H$500,1)+COUNTIFS(PICKS!$A$3:$A$500,6,PICKS!$H$3:$H$500,0)</f>
        <v>0</v>
      </c>
      <c r="C18" s="12" t="n">
        <f aca="false">COUNTIFS(PICKS!$A$3:$A$500,6,PICKS!$H$3:$H$500,1)</f>
        <v>0</v>
      </c>
      <c r="D18" s="15" t="str">
        <f aca="false">IF(B18=0,"",C18/B18)</f>
        <v/>
      </c>
      <c r="E18" s="7"/>
    </row>
    <row r="19" customFormat="false" ht="15" hidden="false" customHeight="true" outlineLevel="0" collapsed="false">
      <c r="A19" s="11" t="n">
        <v>7</v>
      </c>
      <c r="B19" s="12" t="n">
        <f aca="false">COUNTIFS(PICKS!$A$3:$A$500,7,PICKS!$H$3:$H$500,1)+COUNTIFS(PICKS!$A$3:$A$500,7,PICKS!$H$3:$H$500,0)</f>
        <v>0</v>
      </c>
      <c r="C19" s="12" t="n">
        <f aca="false">COUNTIFS(PICKS!$A$3:$A$500,7,PICKS!$H$3:$H$500,1)</f>
        <v>0</v>
      </c>
      <c r="D19" s="15" t="str">
        <f aca="false">IF(B19=0,"",C19/B19)</f>
        <v/>
      </c>
      <c r="E19" s="7"/>
    </row>
    <row r="20" customFormat="false" ht="15" hidden="false" customHeight="true" outlineLevel="0" collapsed="false">
      <c r="A20" s="11" t="n">
        <v>8</v>
      </c>
      <c r="B20" s="12" t="n">
        <f aca="false">COUNTIFS(PICKS!$A$3:$A$500,8,PICKS!$H$3:$H$500,1)+COUNTIFS(PICKS!$A$3:$A$500,8,PICKS!$H$3:$H$500,0)</f>
        <v>0</v>
      </c>
      <c r="C20" s="12" t="n">
        <f aca="false">COUNTIFS(PICKS!$A$3:$A$500,8,PICKS!$H$3:$H$500,1)</f>
        <v>0</v>
      </c>
      <c r="D20" s="15" t="str">
        <f aca="false">IF(B20=0,"",C20/B20)</f>
        <v/>
      </c>
      <c r="E20" s="7"/>
    </row>
    <row r="21" customFormat="false" ht="15" hidden="false" customHeight="true" outlineLevel="0" collapsed="false">
      <c r="A21" s="11" t="n">
        <v>9</v>
      </c>
      <c r="B21" s="12" t="n">
        <f aca="false">COUNTIFS(PICKS!$A$3:$A$500,9,PICKS!$H$3:$H$500,1)+COUNTIFS(PICKS!$A$3:$A$500,9,PICKS!$H$3:$H$500,0)</f>
        <v>0</v>
      </c>
      <c r="C21" s="12" t="n">
        <f aca="false">COUNTIFS(PICKS!$A$3:$A$500,9,PICKS!$H$3:$H$500,1)</f>
        <v>0</v>
      </c>
      <c r="D21" s="15" t="str">
        <f aca="false">IF(B21=0,"",C21/B21)</f>
        <v/>
      </c>
      <c r="E21" s="7"/>
    </row>
    <row r="22" customFormat="false" ht="15" hidden="false" customHeight="true" outlineLevel="0" collapsed="false">
      <c r="A22" s="11" t="n">
        <v>10</v>
      </c>
      <c r="B22" s="12" t="n">
        <f aca="false">COUNTIFS(PICKS!$A$3:$A$500,10,PICKS!$H$3:$H$500,1)+COUNTIFS(PICKS!$A$3:$A$500,10,PICKS!$H$3:$H$500,0)</f>
        <v>0</v>
      </c>
      <c r="C22" s="12" t="n">
        <f aca="false">COUNTIFS(PICKS!$A$3:$A$500,10,PICKS!$H$3:$H$500,1)</f>
        <v>0</v>
      </c>
      <c r="D22" s="15" t="str">
        <f aca="false">IF(B22=0,"",C22/B22)</f>
        <v/>
      </c>
      <c r="E22" s="7"/>
    </row>
    <row r="23" customFormat="false" ht="15" hidden="false" customHeight="true" outlineLevel="0" collapsed="false">
      <c r="A23" s="11" t="n">
        <v>11</v>
      </c>
      <c r="B23" s="12" t="n">
        <f aca="false">COUNTIFS(PICKS!$A$3:$A$500,11,PICKS!$H$3:$H$500,1)+COUNTIFS(PICKS!$A$3:$A$500,11,PICKS!$H$3:$H$500,0)</f>
        <v>0</v>
      </c>
      <c r="C23" s="12" t="n">
        <f aca="false">COUNTIFS(PICKS!$A$3:$A$500,11,PICKS!$H$3:$H$500,1)</f>
        <v>0</v>
      </c>
      <c r="D23" s="15" t="str">
        <f aca="false">IF(B23=0,"",C23/B23)</f>
        <v/>
      </c>
      <c r="E23" s="7"/>
    </row>
    <row r="24" customFormat="false" ht="15" hidden="false" customHeight="true" outlineLevel="0" collapsed="false">
      <c r="A24" s="11" t="n">
        <v>12</v>
      </c>
      <c r="B24" s="12" t="n">
        <f aca="false">COUNTIFS(PICKS!$A$3:$A$500,12,PICKS!$H$3:$H$500,1)+COUNTIFS(PICKS!$A$3:$A$500,12,PICKS!$H$3:$H$500,0)</f>
        <v>0</v>
      </c>
      <c r="C24" s="12" t="n">
        <f aca="false">COUNTIFS(PICKS!$A$3:$A$500,12,PICKS!$H$3:$H$500,1)</f>
        <v>0</v>
      </c>
      <c r="D24" s="15" t="str">
        <f aca="false">IF(B24=0,"",C24/B24)</f>
        <v/>
      </c>
      <c r="E24" s="7"/>
    </row>
    <row r="25" customFormat="false" ht="15" hidden="false" customHeight="true" outlineLevel="0" collapsed="false">
      <c r="A25" s="11" t="n">
        <v>13</v>
      </c>
      <c r="B25" s="12" t="n">
        <f aca="false">COUNTIFS(PICKS!$A$3:$A$500,13,PICKS!$H$3:$H$500,1)+COUNTIFS(PICKS!$A$3:$A$500,13,PICKS!$H$3:$H$500,0)</f>
        <v>0</v>
      </c>
      <c r="C25" s="12" t="n">
        <f aca="false">COUNTIFS(PICKS!$A$3:$A$500,13,PICKS!$H$3:$H$500,1)</f>
        <v>0</v>
      </c>
      <c r="D25" s="15" t="str">
        <f aca="false">IF(B25=0,"",C25/B25)</f>
        <v/>
      </c>
      <c r="E25" s="7"/>
    </row>
    <row r="26" customFormat="false" ht="15" hidden="false" customHeight="true" outlineLevel="0" collapsed="false">
      <c r="A26" s="11" t="n">
        <v>14</v>
      </c>
      <c r="B26" s="12" t="n">
        <f aca="false">COUNTIFS(PICKS!$A$3:$A$500,14,PICKS!$H$3:$H$500,1)+COUNTIFS(PICKS!$A$3:$A$500,14,PICKS!$H$3:$H$500,0)</f>
        <v>0</v>
      </c>
      <c r="C26" s="12" t="n">
        <f aca="false">COUNTIFS(PICKS!$A$3:$A$500,14,PICKS!$H$3:$H$500,1)</f>
        <v>0</v>
      </c>
      <c r="D26" s="15" t="str">
        <f aca="false">IF(B26=0,"",C26/B26)</f>
        <v/>
      </c>
      <c r="E26" s="7"/>
    </row>
    <row r="27" customFormat="false" ht="15" hidden="false" customHeight="true" outlineLevel="0" collapsed="false">
      <c r="A27" s="11" t="n">
        <v>15</v>
      </c>
      <c r="B27" s="12" t="n">
        <f aca="false">COUNTIFS(PICKS!$A$3:$A$500,15,PICKS!$H$3:$H$500,1)+COUNTIFS(PICKS!$A$3:$A$500,15,PICKS!$H$3:$H$500,0)</f>
        <v>0</v>
      </c>
      <c r="C27" s="12" t="n">
        <f aca="false">COUNTIFS(PICKS!$A$3:$A$500,15,PICKS!$H$3:$H$500,1)</f>
        <v>0</v>
      </c>
      <c r="D27" s="15" t="str">
        <f aca="false">IF(B27=0,"",C27/B27)</f>
        <v/>
      </c>
      <c r="E27" s="7"/>
    </row>
    <row r="28" customFormat="false" ht="15" hidden="false" customHeight="true" outlineLevel="0" collapsed="false">
      <c r="A28" s="11" t="n">
        <v>16</v>
      </c>
      <c r="B28" s="12" t="n">
        <f aca="false">COUNTIFS(PICKS!$A$3:$A$500,16,PICKS!$H$3:$H$500,1)+COUNTIFS(PICKS!$A$3:$A$500,16,PICKS!$H$3:$H$500,0)</f>
        <v>0</v>
      </c>
      <c r="C28" s="12" t="n">
        <f aca="false">COUNTIFS(PICKS!$A$3:$A$500,16,PICKS!$H$3:$H$500,1)</f>
        <v>0</v>
      </c>
      <c r="D28" s="15" t="str">
        <f aca="false">IF(B28=0,"",C28/B28)</f>
        <v/>
      </c>
      <c r="E28" s="7"/>
    </row>
    <row r="29" customFormat="false" ht="15" hidden="false" customHeight="true" outlineLevel="0" collapsed="false">
      <c r="A29" s="11" t="n">
        <v>17</v>
      </c>
      <c r="B29" s="12" t="n">
        <f aca="false">COUNTIFS(PICKS!$A$3:$A$500,17,PICKS!$H$3:$H$500,1)+COUNTIFS(PICKS!$A$3:$A$500,17,PICKS!$H$3:$H$500,0)</f>
        <v>0</v>
      </c>
      <c r="C29" s="12" t="n">
        <f aca="false">COUNTIFS(PICKS!$A$3:$A$500,17,PICKS!$H$3:$H$500,1)</f>
        <v>0</v>
      </c>
      <c r="D29" s="15" t="str">
        <f aca="false">IF(B29=0,"",C29/B29)</f>
        <v/>
      </c>
      <c r="E29" s="7"/>
    </row>
    <row r="30" customFormat="false" ht="15" hidden="false" customHeight="true" outlineLevel="0" collapsed="false">
      <c r="A30" s="11" t="n">
        <v>18</v>
      </c>
      <c r="B30" s="12" t="n">
        <f aca="false">COUNTIFS(PICKS!$A$3:$A$500,18,PICKS!$H$3:$H$500,1)+COUNTIFS(PICKS!$A$3:$A$500,18,PICKS!$H$3:$H$500,0)</f>
        <v>0</v>
      </c>
      <c r="C30" s="12" t="n">
        <f aca="false">COUNTIFS(PICKS!$A$3:$A$500,18,PICKS!$H$3:$H$500,1)</f>
        <v>0</v>
      </c>
      <c r="D30" s="15" t="str">
        <f aca="false">IF(B30=0,"",C30/B30)</f>
        <v/>
      </c>
      <c r="E30" s="7"/>
    </row>
    <row r="32" customFormat="false" ht="21.75" hidden="false" customHeight="true" outlineLevel="0" collapsed="false">
      <c r="A32" s="3" t="s">
        <v>165</v>
      </c>
      <c r="B32" s="3"/>
      <c r="C32" s="3"/>
      <c r="D32" s="3"/>
      <c r="E32" s="3"/>
    </row>
  </sheetData>
  <mergeCells count="2">
    <mergeCell ref="A1:E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8"/>
    <col collapsed="false" customWidth="true" hidden="false" outlineLevel="0" max="3" min="3" style="1" width="55"/>
  </cols>
  <sheetData>
    <row r="1" customFormat="false" ht="15" hidden="false" customHeight="true" outlineLevel="0" collapsed="false">
      <c r="A1" s="9" t="s">
        <v>166</v>
      </c>
      <c r="B1" s="9"/>
      <c r="C1" s="9"/>
    </row>
    <row r="3" customFormat="false" ht="15" hidden="false" customHeight="true" outlineLevel="0" collapsed="false">
      <c r="A3" s="4" t="s">
        <v>167</v>
      </c>
      <c r="B3" s="4" t="s">
        <v>168</v>
      </c>
      <c r="C3" s="4" t="s">
        <v>169</v>
      </c>
    </row>
    <row r="4" customFormat="false" ht="34.5" hidden="false" customHeight="true" outlineLevel="0" collapsed="false">
      <c r="A4" s="5" t="s">
        <v>170</v>
      </c>
      <c r="B4" s="7" t="s">
        <v>171</v>
      </c>
      <c r="C4" s="7" t="s">
        <v>172</v>
      </c>
    </row>
    <row r="5" customFormat="false" ht="23.25" hidden="false" customHeight="true" outlineLevel="0" collapsed="false">
      <c r="A5" s="5" t="s">
        <v>173</v>
      </c>
      <c r="B5" s="7" t="s">
        <v>174</v>
      </c>
      <c r="C5" s="7" t="s">
        <v>175</v>
      </c>
    </row>
    <row r="6" customFormat="false" ht="34.5" hidden="false" customHeight="true" outlineLevel="0" collapsed="false">
      <c r="A6" s="5" t="s">
        <v>176</v>
      </c>
      <c r="B6" s="7" t="s">
        <v>177</v>
      </c>
      <c r="C6" s="7" t="s">
        <v>178</v>
      </c>
    </row>
    <row r="7" customFormat="false" ht="34.5" hidden="false" customHeight="true" outlineLevel="0" collapsed="false">
      <c r="A7" s="5" t="s">
        <v>179</v>
      </c>
      <c r="B7" s="7" t="s">
        <v>180</v>
      </c>
      <c r="C7" s="7" t="s">
        <v>181</v>
      </c>
    </row>
    <row r="8" customFormat="false" ht="34.5" hidden="false" customHeight="true" outlineLevel="0" collapsed="false">
      <c r="A8" s="5" t="s">
        <v>182</v>
      </c>
      <c r="B8" s="7" t="s">
        <v>183</v>
      </c>
      <c r="C8" s="7" t="s">
        <v>184</v>
      </c>
    </row>
    <row r="9" customFormat="false" ht="23.25" hidden="false" customHeight="true" outlineLevel="0" collapsed="false">
      <c r="A9" s="5" t="s">
        <v>185</v>
      </c>
      <c r="B9" s="7" t="s">
        <v>186</v>
      </c>
      <c r="C9" s="7" t="s">
        <v>187</v>
      </c>
    </row>
    <row r="11" customFormat="false" ht="15" hidden="false" customHeight="true" outlineLevel="0" collapsed="false">
      <c r="A11" s="3" t="s">
        <v>188</v>
      </c>
      <c r="B11" s="3"/>
      <c r="C11" s="3"/>
    </row>
    <row r="13" customFormat="false" ht="23.25" hidden="false" customHeight="true" outlineLevel="0" collapsed="false">
      <c r="A13" s="5" t="s">
        <v>189</v>
      </c>
      <c r="B13" s="12" t="n">
        <f aca="false">COUNTIFS(PICKS!$G$3:$G$34,"&lt;&gt;")-SUMPRODUCT(--(PICKS!$B$3:$B$34=PICKS!$G$3:$G$34))</f>
        <v>28</v>
      </c>
      <c r="C13" s="15" t="n">
        <f aca="false">B13/COUNTIFS(PICKS!$G$3:$G$34,"&lt;&gt;")</f>
        <v>0.875</v>
      </c>
    </row>
    <row r="16" customFormat="false" ht="23.25" hidden="false" customHeight="true" outlineLevel="0" collapsed="false">
      <c r="A16" s="17" t="s">
        <v>190</v>
      </c>
    </row>
    <row r="17" customFormat="false" ht="45.75" hidden="false" customHeight="true" outlineLevel="0" collapsed="false">
      <c r="A17" s="17" t="s">
        <v>191</v>
      </c>
      <c r="B17" s="18" t="s">
        <v>192</v>
      </c>
      <c r="C17" s="18" t="s">
        <v>193</v>
      </c>
    </row>
    <row r="18" customFormat="false" ht="34.5" hidden="false" customHeight="true" outlineLevel="0" collapsed="false">
      <c r="A18" s="17" t="s">
        <v>194</v>
      </c>
      <c r="B18" s="18" t="s">
        <v>195</v>
      </c>
      <c r="C18" s="18" t="s">
        <v>196</v>
      </c>
    </row>
    <row r="19" customFormat="false" ht="34.5" hidden="false" customHeight="true" outlineLevel="0" collapsed="false">
      <c r="A19" s="17" t="s">
        <v>197</v>
      </c>
      <c r="B19" s="18" t="s">
        <v>198</v>
      </c>
      <c r="C19" s="18" t="s">
        <v>199</v>
      </c>
    </row>
    <row r="20" customFormat="false" ht="34.5" hidden="false" customHeight="true" outlineLevel="0" collapsed="false">
      <c r="A20" s="17" t="s">
        <v>200</v>
      </c>
      <c r="B20" s="18" t="s">
        <v>201</v>
      </c>
      <c r="C20" s="18" t="s">
        <v>202</v>
      </c>
    </row>
  </sheetData>
  <mergeCells count="2">
    <mergeCell ref="A1:C1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2026-09-21T22:27:06Z</dcterms:created>
  <dc:creator>openpyxl</dc:creator>
  <dc:description/>
  <dc:language>en-US</dc:language>
  <cp:lastModifiedBy/>
  <dcterms:modified xsi:type="dcterms:W3CDTF">2026-09-24T15:39:59Z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